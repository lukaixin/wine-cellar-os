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kai\Downloads\"/>
    </mc:Choice>
  </mc:AlternateContent>
  <xr:revisionPtr revIDLastSave="0" documentId="13_ncr:1_{2F6B9BF2-FBDF-40CA-B107-66BBB4B0763F}" xr6:coauthVersionLast="47" xr6:coauthVersionMax="47" xr10:uidLastSave="{00000000-0000-0000-0000-000000000000}"/>
  <bookViews>
    <workbookView xWindow="-108" yWindow="-108" windowWidth="37080" windowHeight="22536" xr2:uid="{00000000-000D-0000-FFFF-FFFF00000000}"/>
  </bookViews>
  <sheets>
    <sheet name="Stock" sheetId="1" r:id="rId1"/>
    <sheet name="FR盲品" sheetId="2" r:id="rId2"/>
    <sheet name="工作表1" sheetId="3" state="hidden" r:id="rId3"/>
    <sheet name="CoteRotie1" sheetId="4" r:id="rId4"/>
    <sheet name="Northern Rhone" sheetId="5" r:id="rId5"/>
    <sheet name="CoteRotie2" sheetId="6" r:id="rId6"/>
    <sheet name="Cornas" sheetId="7" r:id="rId7"/>
    <sheet name="Syrah" sheetId="8" r:id="rId8"/>
    <sheet name="Rougeard" sheetId="9" r:id="rId9"/>
    <sheet name="HKShippment2405" sheetId="10" r:id="rId10"/>
    <sheet name="GCShippment2405" sheetId="11" r:id="rId11"/>
    <sheet name="GCShippment2501" sheetId="12" r:id="rId12"/>
    <sheet name="HKStock" sheetId="13" r:id="rId13"/>
    <sheet name="GCShippment2510" sheetId="14" r:id="rId14"/>
    <sheet name="BurgundyVintageReport" sheetId="15" r:id="rId15"/>
  </sheets>
  <calcPr calcId="191029"/>
  <pivotCaches>
    <pivotCache cacheId="5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4" l="1"/>
  <c r="A11" i="14"/>
  <c r="K10" i="14"/>
  <c r="A10" i="14"/>
  <c r="K9" i="14"/>
  <c r="A9" i="14"/>
  <c r="K8" i="14"/>
  <c r="A8" i="14"/>
  <c r="K7" i="14"/>
  <c r="A7" i="14"/>
  <c r="K6" i="14"/>
  <c r="A6" i="14"/>
  <c r="K5" i="14"/>
  <c r="A5" i="14"/>
  <c r="K4" i="14"/>
  <c r="A4" i="14"/>
  <c r="K3" i="14"/>
  <c r="A3" i="14"/>
  <c r="K2" i="14"/>
  <c r="A2" i="14"/>
  <c r="A11" i="13"/>
  <c r="A10" i="13"/>
  <c r="A9" i="13"/>
  <c r="A8" i="13"/>
  <c r="A7" i="13"/>
  <c r="A6" i="13"/>
  <c r="A5" i="13"/>
  <c r="A4" i="13"/>
  <c r="A3" i="13"/>
  <c r="A2" i="13"/>
  <c r="K9" i="12"/>
  <c r="A8" i="12"/>
  <c r="A7" i="12"/>
  <c r="A6" i="12"/>
  <c r="A5" i="12"/>
  <c r="A4" i="12"/>
  <c r="A3" i="12"/>
  <c r="A11" i="9"/>
  <c r="A10" i="9"/>
  <c r="A9" i="9"/>
  <c r="A8" i="9"/>
  <c r="A7" i="9"/>
  <c r="A6" i="9"/>
  <c r="A5" i="9"/>
  <c r="A4" i="9"/>
  <c r="A3" i="9"/>
  <c r="A2" i="9"/>
  <c r="A11" i="7"/>
  <c r="A10" i="7"/>
  <c r="A9" i="7"/>
  <c r="A8" i="7"/>
  <c r="A7" i="7"/>
  <c r="A6" i="7"/>
  <c r="A5" i="7"/>
  <c r="A4" i="7"/>
  <c r="A3" i="7"/>
  <c r="A2" i="7"/>
  <c r="G14" i="5"/>
  <c r="F14" i="5"/>
  <c r="H13" i="5"/>
  <c r="A13" i="5"/>
  <c r="H12" i="5"/>
  <c r="A12" i="5"/>
  <c r="H11" i="5"/>
  <c r="A11" i="5"/>
  <c r="A10" i="5"/>
  <c r="H9" i="5"/>
  <c r="A9" i="5"/>
  <c r="H8" i="5"/>
  <c r="A8" i="5"/>
  <c r="H7" i="5"/>
  <c r="A7" i="5"/>
  <c r="H6" i="5"/>
  <c r="A6" i="5"/>
  <c r="H5" i="5"/>
  <c r="A5" i="5"/>
  <c r="H4" i="5"/>
  <c r="A4" i="5"/>
  <c r="A3" i="5"/>
  <c r="A2" i="5"/>
  <c r="I25" i="2"/>
  <c r="A24" i="2"/>
  <c r="A23" i="2"/>
  <c r="A22" i="2"/>
  <c r="A21" i="2"/>
  <c r="A20" i="2"/>
  <c r="A19" i="2"/>
  <c r="A18" i="2"/>
  <c r="A17" i="2"/>
  <c r="A16" i="2"/>
  <c r="A15" i="2"/>
  <c r="H12" i="2"/>
  <c r="A11" i="2"/>
  <c r="A10" i="2"/>
  <c r="A9" i="2"/>
  <c r="A8" i="2"/>
  <c r="A7" i="2"/>
  <c r="A6" i="2"/>
  <c r="A5" i="2"/>
  <c r="A4" i="2"/>
  <c r="A3" i="2"/>
  <c r="A2" i="2"/>
  <c r="N115" i="1"/>
  <c r="A115" i="1"/>
  <c r="N114" i="1"/>
  <c r="A114" i="1"/>
  <c r="N113" i="1"/>
  <c r="A113" i="1"/>
  <c r="N112" i="1"/>
  <c r="A112" i="1"/>
  <c r="N111" i="1"/>
  <c r="A111" i="1"/>
  <c r="N110" i="1"/>
  <c r="A110" i="1"/>
  <c r="N109" i="1"/>
  <c r="A109" i="1"/>
  <c r="N108" i="1"/>
  <c r="A108" i="1"/>
  <c r="N107" i="1"/>
  <c r="A107" i="1"/>
  <c r="N106" i="1"/>
  <c r="A106" i="1"/>
  <c r="N105" i="1"/>
  <c r="A105" i="1"/>
  <c r="N104" i="1"/>
  <c r="A104" i="1"/>
  <c r="N103" i="1"/>
  <c r="A103" i="1"/>
  <c r="N102" i="1"/>
  <c r="A102" i="1"/>
  <c r="N101" i="1"/>
  <c r="A101" i="1"/>
  <c r="N100" i="1"/>
  <c r="A100" i="1"/>
  <c r="N99" i="1"/>
  <c r="A99" i="1"/>
  <c r="N98" i="1"/>
  <c r="A98" i="1"/>
  <c r="N97" i="1"/>
  <c r="A97" i="1"/>
  <c r="N96" i="1"/>
  <c r="A96" i="1"/>
  <c r="N95" i="1"/>
  <c r="A95" i="1"/>
  <c r="N94" i="1"/>
  <c r="A94" i="1"/>
  <c r="N93" i="1"/>
  <c r="A93" i="1"/>
  <c r="N92" i="1"/>
  <c r="A92" i="1"/>
  <c r="N91" i="1"/>
  <c r="A91" i="1"/>
  <c r="N90" i="1"/>
  <c r="A90" i="1"/>
  <c r="N89" i="1"/>
  <c r="A89" i="1"/>
  <c r="N88" i="1"/>
  <c r="A88" i="1"/>
  <c r="N87" i="1"/>
  <c r="A87" i="1"/>
  <c r="N86" i="1"/>
  <c r="A86" i="1"/>
  <c r="N85" i="1"/>
  <c r="A85" i="1"/>
  <c r="N84" i="1"/>
  <c r="A84" i="1"/>
  <c r="N83" i="1"/>
  <c r="A83" i="1"/>
  <c r="N82" i="1"/>
  <c r="A82" i="1"/>
  <c r="N81" i="1"/>
  <c r="A81" i="1"/>
  <c r="N80" i="1"/>
  <c r="A80" i="1"/>
  <c r="N79" i="1"/>
  <c r="A79" i="1"/>
  <c r="N78" i="1"/>
  <c r="A78" i="1"/>
  <c r="N77" i="1"/>
  <c r="A77" i="1"/>
  <c r="N76" i="1"/>
  <c r="A76" i="1"/>
  <c r="N75" i="1"/>
  <c r="A75" i="1"/>
  <c r="N74" i="1"/>
  <c r="A74" i="1"/>
  <c r="N73" i="1"/>
  <c r="A73" i="1"/>
  <c r="N72" i="1"/>
  <c r="A72" i="1"/>
  <c r="N71" i="1"/>
  <c r="A71" i="1"/>
  <c r="N70" i="1"/>
  <c r="A70" i="1"/>
  <c r="N69" i="1"/>
  <c r="A69" i="1"/>
  <c r="N68" i="1"/>
  <c r="A68" i="1"/>
  <c r="N67" i="1"/>
  <c r="A67" i="1"/>
  <c r="N66" i="1"/>
  <c r="A66" i="1"/>
  <c r="N65" i="1"/>
  <c r="A65" i="1"/>
  <c r="N64" i="1"/>
  <c r="A64" i="1"/>
  <c r="N63" i="1"/>
  <c r="A63" i="1"/>
  <c r="N62" i="1"/>
  <c r="A62" i="1"/>
  <c r="N61" i="1"/>
  <c r="A61" i="1"/>
  <c r="N60" i="1"/>
  <c r="A60" i="1"/>
  <c r="N59" i="1"/>
  <c r="A59" i="1"/>
  <c r="N58" i="1"/>
  <c r="A58" i="1"/>
  <c r="N57" i="1"/>
  <c r="A57" i="1"/>
  <c r="N56" i="1"/>
  <c r="A56" i="1"/>
  <c r="N55" i="1"/>
  <c r="A55" i="1"/>
  <c r="N54" i="1"/>
  <c r="A54" i="1"/>
  <c r="N53" i="1"/>
  <c r="A53" i="1"/>
  <c r="N52" i="1"/>
  <c r="A52" i="1"/>
  <c r="N51" i="1"/>
  <c r="A51" i="1"/>
  <c r="N50" i="1"/>
  <c r="A50" i="1"/>
  <c r="N49" i="1"/>
  <c r="A49" i="1"/>
  <c r="N48" i="1"/>
  <c r="A48" i="1"/>
  <c r="N47" i="1"/>
  <c r="A47" i="1"/>
  <c r="N46" i="1"/>
  <c r="A46" i="1"/>
  <c r="N45" i="1"/>
  <c r="A45" i="1"/>
  <c r="N44" i="1"/>
  <c r="A44" i="1"/>
  <c r="N43" i="1"/>
  <c r="A43" i="1"/>
  <c r="N42" i="1"/>
  <c r="A42" i="1"/>
  <c r="N41" i="1"/>
  <c r="A41" i="1"/>
  <c r="N40" i="1"/>
  <c r="A40" i="1"/>
  <c r="N39" i="1"/>
  <c r="A39" i="1"/>
  <c r="N38" i="1"/>
  <c r="A38" i="1"/>
  <c r="N37" i="1"/>
  <c r="A37" i="1"/>
  <c r="N36" i="1"/>
  <c r="A36" i="1"/>
  <c r="N35" i="1"/>
  <c r="A35" i="1"/>
  <c r="N34" i="1"/>
  <c r="A34" i="1"/>
  <c r="N33" i="1"/>
  <c r="A33" i="1"/>
  <c r="N32" i="1"/>
  <c r="A32" i="1"/>
  <c r="N31" i="1"/>
  <c r="A31" i="1"/>
  <c r="N30" i="1"/>
  <c r="A30" i="1"/>
  <c r="N29" i="1"/>
  <c r="A29" i="1"/>
  <c r="N28" i="1"/>
  <c r="A28" i="1"/>
  <c r="N27" i="1"/>
  <c r="A27" i="1"/>
  <c r="N26" i="1"/>
  <c r="A26" i="1"/>
  <c r="N25" i="1"/>
  <c r="A25" i="1"/>
  <c r="N24" i="1"/>
  <c r="A24" i="1"/>
  <c r="N23" i="1"/>
  <c r="A23" i="1"/>
  <c r="N22" i="1"/>
  <c r="A22" i="1"/>
  <c r="N21" i="1"/>
  <c r="A21" i="1"/>
  <c r="N20" i="1"/>
  <c r="A20" i="1"/>
  <c r="N19" i="1"/>
  <c r="A19" i="1"/>
  <c r="N18" i="1"/>
  <c r="A18" i="1"/>
  <c r="N17" i="1"/>
  <c r="A17" i="1"/>
  <c r="N16" i="1"/>
  <c r="A16" i="1"/>
  <c r="N15" i="1"/>
  <c r="A15" i="1"/>
  <c r="N14" i="1"/>
  <c r="A14" i="1"/>
  <c r="N13" i="1"/>
  <c r="A13" i="1"/>
  <c r="N12" i="1"/>
  <c r="A12" i="1"/>
  <c r="N11" i="1"/>
  <c r="A11" i="1"/>
  <c r="N10" i="1"/>
  <c r="A10" i="1"/>
  <c r="N9" i="1"/>
  <c r="A9" i="1"/>
  <c r="N8" i="1"/>
  <c r="A8" i="1"/>
  <c r="N7" i="1"/>
  <c r="A7" i="1"/>
  <c r="N6" i="1"/>
  <c r="A6" i="1"/>
  <c r="N5" i="1"/>
  <c r="A5" i="1"/>
  <c r="N4" i="1"/>
  <c r="A4" i="1"/>
  <c r="N3" i="1"/>
  <c r="A3" i="1"/>
  <c r="N2" i="1"/>
  <c r="A2" i="1"/>
  <c r="I12" i="14" l="1"/>
  <c r="H14" i="5"/>
  <c r="N116" i="1"/>
</calcChain>
</file>

<file path=xl/sharedStrings.xml><?xml version="1.0" encoding="utf-8"?>
<sst xmlns="http://schemas.openxmlformats.org/spreadsheetml/2006/main" count="1697" uniqueCount="340">
  <si>
    <t/>
  </si>
  <si>
    <t>No</t>
  </si>
  <si>
    <t>Country</t>
  </si>
  <si>
    <t>Region</t>
  </si>
  <si>
    <t>Sub-Region</t>
  </si>
  <si>
    <t>Producer</t>
  </si>
  <si>
    <t>Wine</t>
  </si>
  <si>
    <t>Style</t>
  </si>
  <si>
    <t>Vintage</t>
  </si>
  <si>
    <t>Quantity</t>
  </si>
  <si>
    <t>Cost</t>
  </si>
  <si>
    <t>Channel</t>
  </si>
  <si>
    <t>WS Price</t>
  </si>
  <si>
    <t>Status</t>
  </si>
  <si>
    <t>Total</t>
  </si>
  <si>
    <t>CAVE</t>
  </si>
  <si>
    <t>Australia</t>
  </si>
  <si>
    <t>Barossa Valley</t>
  </si>
  <si>
    <t>Standish</t>
  </si>
  <si>
    <t>The Standish Shiraz</t>
  </si>
  <si>
    <t>Red</t>
  </si>
  <si>
    <t>KTT</t>
  </si>
  <si>
    <t>　</t>
  </si>
  <si>
    <t>C</t>
  </si>
  <si>
    <t>Canberra</t>
  </si>
  <si>
    <t>Clonakilla</t>
  </si>
  <si>
    <t>Shiraz - Viognier</t>
  </si>
  <si>
    <t>PrivateSeller</t>
  </si>
  <si>
    <t>Margaret River</t>
  </si>
  <si>
    <t>Vass Filex</t>
  </si>
  <si>
    <t>Tom Cullity Cabernet Sauvignon - Malbec</t>
  </si>
  <si>
    <t>Yarra Valley</t>
  </si>
  <si>
    <t>Yarra Yering</t>
  </si>
  <si>
    <t>No.1</t>
  </si>
  <si>
    <t>Wines</t>
  </si>
  <si>
    <t>No.2</t>
  </si>
  <si>
    <t>Chile</t>
  </si>
  <si>
    <t>Puente Alto</t>
  </si>
  <si>
    <t>Vina Almaviva</t>
  </si>
  <si>
    <t>Vinehoo</t>
  </si>
  <si>
    <t>China</t>
  </si>
  <si>
    <t>Helan Mountain</t>
  </si>
  <si>
    <t>Legacy Peak</t>
  </si>
  <si>
    <t>Family Heritage Cabernet Sauvignon</t>
  </si>
  <si>
    <t>France</t>
  </si>
  <si>
    <t>Bordeaux</t>
  </si>
  <si>
    <t>Margaux</t>
  </si>
  <si>
    <t>Château Lascombes</t>
  </si>
  <si>
    <t>Starly</t>
  </si>
  <si>
    <t>Château Palmer</t>
  </si>
  <si>
    <t>WineWorld</t>
  </si>
  <si>
    <t>Pauillac</t>
  </si>
  <si>
    <t>Château Lafite Rothschild</t>
  </si>
  <si>
    <t>Carruades de Lafite</t>
  </si>
  <si>
    <t>Château Lynch Bages</t>
  </si>
  <si>
    <t>Château Pichon Longueville Comtesse de Lalande</t>
  </si>
  <si>
    <t>Idealwine</t>
  </si>
  <si>
    <t>FR</t>
  </si>
  <si>
    <t>Château Pichon-Longueville au Baron de Pichon-Longueville</t>
  </si>
  <si>
    <t>Château Pontet-Canet</t>
  </si>
  <si>
    <t>Tmall</t>
  </si>
  <si>
    <t>Pessac-Leognan</t>
  </si>
  <si>
    <t>Château Smith Haut Lafitte</t>
  </si>
  <si>
    <t>Saint-Estephe</t>
  </si>
  <si>
    <t>Château Calon-Segur</t>
  </si>
  <si>
    <t>Château Cos d'Estournel</t>
  </si>
  <si>
    <t>Château Montrose</t>
  </si>
  <si>
    <t>Saint-Julien</t>
  </si>
  <si>
    <t>Château Ducru-Beaucaillou</t>
  </si>
  <si>
    <t>Château Leoville-Las Cases</t>
  </si>
  <si>
    <t>Grand Vin de Leoville</t>
  </si>
  <si>
    <t>Burgundy</t>
  </si>
  <si>
    <t>Meursault</t>
  </si>
  <si>
    <t>Pierre Girardin</t>
  </si>
  <si>
    <t>Meursault Les Grands Charrons</t>
  </si>
  <si>
    <t>White</t>
  </si>
  <si>
    <t>Morey-Saint-Denis</t>
  </si>
  <si>
    <t>Domaine Pierre Amiot et Fils</t>
  </si>
  <si>
    <t>Aux Charmes Premier Cru</t>
  </si>
  <si>
    <t>Pommard</t>
  </si>
  <si>
    <t>Les Grands Epenots Premier Cru</t>
  </si>
  <si>
    <t>Volnay</t>
  </si>
  <si>
    <t>Domaine Clos de la Chapelle</t>
  </si>
  <si>
    <t>'Clos de la Chapelle' Premier Cru</t>
  </si>
  <si>
    <t>Champagne</t>
  </si>
  <si>
    <t>Sparkling</t>
  </si>
  <si>
    <t>Loire</t>
  </si>
  <si>
    <t>Bourgueil</t>
  </si>
  <si>
    <t>Gauthier Pere et Fils Domaine du Bel Air Bourgueil</t>
  </si>
  <si>
    <t>Clos Nouveau</t>
  </si>
  <si>
    <t>Butupier</t>
  </si>
  <si>
    <t>Nicolas Barbou</t>
  </si>
  <si>
    <t>Utopie Creative</t>
  </si>
  <si>
    <t>LY</t>
  </si>
  <si>
    <t>Sancerre</t>
  </si>
  <si>
    <t>Francois Cotat</t>
  </si>
  <si>
    <t>Les Monts Damnes</t>
  </si>
  <si>
    <t>Vincent Gaudry</t>
  </si>
  <si>
    <t>Sancerre Blanc Les Monts Damnes</t>
  </si>
  <si>
    <t>Vague</t>
  </si>
  <si>
    <t>Saumur-Champigny</t>
  </si>
  <si>
    <t>Clos Rougeard</t>
  </si>
  <si>
    <t>Saumur-Champigny Les Poyeux</t>
  </si>
  <si>
    <t>Saumur-Champigny Le Bourg</t>
  </si>
  <si>
    <t>Northern Rhone</t>
  </si>
  <si>
    <t>Château-Grillet</t>
  </si>
  <si>
    <t>VitisWISE</t>
  </si>
  <si>
    <t>Condrieu</t>
  </si>
  <si>
    <t>Domaine Georges Vernay</t>
  </si>
  <si>
    <t>Condrieu Coteau de Vernon</t>
  </si>
  <si>
    <t>Cornas</t>
  </si>
  <si>
    <t>Domaine Alain Voge</t>
  </si>
  <si>
    <t>Cornas Les Vieilles Fontaines</t>
  </si>
  <si>
    <t>Domaine Auguste Clape</t>
  </si>
  <si>
    <t>Domaine Courbis</t>
  </si>
  <si>
    <t>Cornas Les Eygats</t>
  </si>
  <si>
    <t>Domaine Vincent Paris</t>
  </si>
  <si>
    <t>Cornas La Geynale</t>
  </si>
  <si>
    <t>Essentia</t>
  </si>
  <si>
    <t>Philippe Pacalet</t>
  </si>
  <si>
    <t>Yixiang</t>
  </si>
  <si>
    <t>Thierry Allemand</t>
  </si>
  <si>
    <t>Cornas Chaillots</t>
  </si>
  <si>
    <t>Côte Rôtie</t>
  </si>
  <si>
    <t>Delas Freres</t>
  </si>
  <si>
    <t>Cote Rotie Seigneur de Maugiron</t>
  </si>
  <si>
    <t>Domaine Jamet</t>
  </si>
  <si>
    <t>Cote Rotie</t>
  </si>
  <si>
    <t>Domaine Rene Rostaing</t>
  </si>
  <si>
    <t>Côte Rôtie La Landonne</t>
  </si>
  <si>
    <t>XINGSONG</t>
  </si>
  <si>
    <t>Côte Rôtie Côte Brune</t>
  </si>
  <si>
    <t>Domaine Yves et Mathilde Gangloff</t>
  </si>
  <si>
    <t>Cote Rotie La Barbarine</t>
  </si>
  <si>
    <t>E.Guigal</t>
  </si>
  <si>
    <t>Côte Rôtie La Mouline</t>
  </si>
  <si>
    <t>Côte Rôtie La Turque</t>
  </si>
  <si>
    <t>Michel &amp; Stephane Ogier</t>
  </si>
  <si>
    <t>Cote Rotie La Belle Helene</t>
  </si>
  <si>
    <t>Cote Rotie Lancement</t>
  </si>
  <si>
    <t>Hermitage</t>
  </si>
  <si>
    <t>Hermitage Les Bessards</t>
  </si>
  <si>
    <t>SJ</t>
  </si>
  <si>
    <t>Domaine Jean-Louis Chave</t>
  </si>
  <si>
    <t>J</t>
  </si>
  <si>
    <t>Domaine Marc Sorrel</t>
  </si>
  <si>
    <t>Le Gréal Hermitage</t>
  </si>
  <si>
    <t>Domaine Philippe &amp; Vincent Jaboulet</t>
  </si>
  <si>
    <t>Hermitage Rouge</t>
  </si>
  <si>
    <t>M.Chapoutier</t>
  </si>
  <si>
    <t>L'Ermite</t>
  </si>
  <si>
    <t>Le Pavillon</t>
  </si>
  <si>
    <t>Paul Jaboulet Aine - Domaine de la Chapelle</t>
  </si>
  <si>
    <t>Hermitage La Chapelle</t>
  </si>
  <si>
    <t>Saint Joseph</t>
  </si>
  <si>
    <t>Saint Joseph ‘Clos Florentin’</t>
  </si>
  <si>
    <t>La Vigne des Pères</t>
  </si>
  <si>
    <t>Saint Joseph ‘Petit Père’</t>
  </si>
  <si>
    <t>Pierre Gonon</t>
  </si>
  <si>
    <t>Sorthern Rhone</t>
  </si>
  <si>
    <t>Châteauneuf-du-Pape</t>
  </si>
  <si>
    <t>Château de Beaucastel</t>
  </si>
  <si>
    <t>Clos de l'Oratoire des Papes</t>
  </si>
  <si>
    <t>Domaine du Vieux Telegraphe</t>
  </si>
  <si>
    <t>Châteauneuf-du-Pape La Crau</t>
  </si>
  <si>
    <t>Dongli</t>
  </si>
  <si>
    <t>Henri Bonneau</t>
  </si>
  <si>
    <t>Châteauneuf-du-Pape Reserve des Celestins</t>
  </si>
  <si>
    <t>Germany</t>
  </si>
  <si>
    <t>Ahr</t>
  </si>
  <si>
    <t>Jean Stodden</t>
  </si>
  <si>
    <t>Neuenahrer Sonnenberg Spatburgunder Grosses Gewachs</t>
  </si>
  <si>
    <t>Dernauer Hardtberg Spatburgunder Grosses Gewachs</t>
  </si>
  <si>
    <t>Hungary</t>
  </si>
  <si>
    <t>Tokaj</t>
  </si>
  <si>
    <t>Royal Tokaji</t>
  </si>
  <si>
    <t>Aszu 5 Puttonyos</t>
  </si>
  <si>
    <t>Sweet</t>
  </si>
  <si>
    <t>Italy</t>
  </si>
  <si>
    <t>Abruzzo</t>
  </si>
  <si>
    <t>Azienda Agricola Valentini</t>
  </si>
  <si>
    <t>Cerasuolo Montepulciano d'Abruzzo Rose</t>
  </si>
  <si>
    <t>Rose</t>
  </si>
  <si>
    <t>Trebbiano d'Abruzzo</t>
  </si>
  <si>
    <t>Amarone della Valpolicella</t>
  </si>
  <si>
    <t>Bertani</t>
  </si>
  <si>
    <t>Amarone della Valpolicella Classico DOCG</t>
  </si>
  <si>
    <t>Giuseppe Quintarelli</t>
  </si>
  <si>
    <t>Masi</t>
  </si>
  <si>
    <t>Costasera</t>
  </si>
  <si>
    <t>Barbaresco</t>
  </si>
  <si>
    <t>Falletto di Bruno Giacosa</t>
  </si>
  <si>
    <t>Asili</t>
  </si>
  <si>
    <t>Paitin di Pasquero-Elia</t>
  </si>
  <si>
    <t>Sori Paitin Vecchie Vigne</t>
  </si>
  <si>
    <t>Barolo</t>
  </si>
  <si>
    <t>Giacomo Borgogno &amp; Figli</t>
  </si>
  <si>
    <t>Barolo Riserva DOCG</t>
  </si>
  <si>
    <t>Ponti</t>
  </si>
  <si>
    <t>Brunello di Montalcino</t>
  </si>
  <si>
    <t>Fuglini</t>
  </si>
  <si>
    <t>Brunello di Montalcino Riserva DOCG</t>
  </si>
  <si>
    <t>Il Poggione Vigna Paganelli</t>
  </si>
  <si>
    <t>Padelletti</t>
  </si>
  <si>
    <t>Podere Salicutti</t>
  </si>
  <si>
    <t>Sorgente</t>
  </si>
  <si>
    <t>Zamej</t>
  </si>
  <si>
    <t>Poggio Antico</t>
  </si>
  <si>
    <t>Salvioni</t>
  </si>
  <si>
    <t>Brunello di Montalcino DOCG</t>
  </si>
  <si>
    <t>Siro Pacenti</t>
  </si>
  <si>
    <t>PS Brunello di Montalcino DOCG</t>
  </si>
  <si>
    <t>PS Vecchie Vigne</t>
  </si>
  <si>
    <t>Stella di Campalto</t>
  </si>
  <si>
    <t>Cielo</t>
  </si>
  <si>
    <t>Campania</t>
  </si>
  <si>
    <t>Fattoria Galardi</t>
  </si>
  <si>
    <t>Terra di Lavoro Campania IGT</t>
  </si>
  <si>
    <t>Mastroberardino</t>
  </si>
  <si>
    <t>Radici Riserva</t>
  </si>
  <si>
    <t>Interprocom</t>
  </si>
  <si>
    <t>New Zealand</t>
  </si>
  <si>
    <t>Central Otago</t>
  </si>
  <si>
    <t>Bannockburn</t>
  </si>
  <si>
    <t>Felton Road</t>
  </si>
  <si>
    <t>Block 5 Pinot Noir</t>
  </si>
  <si>
    <t>Calvert Pinot Noir</t>
  </si>
  <si>
    <t>NZ</t>
  </si>
  <si>
    <t>Prophet's Rock</t>
  </si>
  <si>
    <t>'Cuvee Aux Antipodes' Pinot Noir</t>
  </si>
  <si>
    <t>Canterbury</t>
  </si>
  <si>
    <t>Waipara</t>
  </si>
  <si>
    <t xml:space="preserve">Pegasus Bay </t>
  </si>
  <si>
    <t>Prima Donna Pinot Noir</t>
  </si>
  <si>
    <t>Martinborough</t>
  </si>
  <si>
    <t xml:space="preserve">Dry River </t>
  </si>
  <si>
    <t>Pinot Noir</t>
  </si>
  <si>
    <t>Hawke's Bay</t>
  </si>
  <si>
    <t>Bilancia</t>
  </si>
  <si>
    <t>La Collina Syrah</t>
  </si>
  <si>
    <t>Escarpment</t>
  </si>
  <si>
    <t>Kupe Pinot Noir</t>
  </si>
  <si>
    <t>Portugal</t>
  </si>
  <si>
    <t>Porto</t>
  </si>
  <si>
    <t>Quinta do Noval</t>
  </si>
  <si>
    <t>Silval Vintage Port</t>
  </si>
  <si>
    <t>Fortified</t>
  </si>
  <si>
    <t xml:space="preserve">Warre's </t>
  </si>
  <si>
    <t>Vintage Port</t>
  </si>
  <si>
    <t>Spain</t>
  </si>
  <si>
    <t>Campo de Borja</t>
  </si>
  <si>
    <t>Bodegas Alto Moncayo</t>
  </si>
  <si>
    <t>Aquilon Garnacha</t>
  </si>
  <si>
    <t>USA</t>
  </si>
  <si>
    <t>Napa Valley</t>
  </si>
  <si>
    <t>Beringer Vineyards</t>
  </si>
  <si>
    <t>Private Reserve Cabernet Sauvignon</t>
  </si>
  <si>
    <t>Grape</t>
  </si>
  <si>
    <t>Price</t>
  </si>
  <si>
    <t>Billecart-Salmon</t>
  </si>
  <si>
    <t>Brut Reserve</t>
  </si>
  <si>
    <t>28% Pinot Noir 29% Chardonnay 43% Meunier</t>
  </si>
  <si>
    <t>Y</t>
  </si>
  <si>
    <t>Sauvignon Blanc</t>
  </si>
  <si>
    <t>Jura</t>
  </si>
  <si>
    <t>Cotes du Jura</t>
  </si>
  <si>
    <t>Anne et Jean-Francois Ganevat</t>
  </si>
  <si>
    <t>Cotes du Jura Les Grands Teppes Vieilles Vignes Blanc</t>
  </si>
  <si>
    <t>Chardonnay</t>
  </si>
  <si>
    <t>muyi</t>
  </si>
  <si>
    <t>Francs Cotes de Bordeaux</t>
  </si>
  <si>
    <t xml:space="preserve">Chateau le Puy </t>
  </si>
  <si>
    <t>Marie-Cecile</t>
  </si>
  <si>
    <t>Semillon</t>
  </si>
  <si>
    <t>Domaine Ramonet</t>
  </si>
  <si>
    <t>Aligote</t>
  </si>
  <si>
    <t>gary</t>
  </si>
  <si>
    <t>Beaujolais</t>
  </si>
  <si>
    <t>Leroy</t>
  </si>
  <si>
    <t>Beaujolais Villages Primeur</t>
  </si>
  <si>
    <t>Gamay</t>
  </si>
  <si>
    <t>TIE</t>
  </si>
  <si>
    <t>Syrah</t>
  </si>
  <si>
    <t>Châteauneuf-du-Pape Cuvee Marie Beurrier</t>
  </si>
  <si>
    <t>Grenache</t>
  </si>
  <si>
    <t>Saumur</t>
  </si>
  <si>
    <t>Domaine Guiberteau</t>
  </si>
  <si>
    <t>Saumur Blanc Breze</t>
  </si>
  <si>
    <t>Chenin Blanc</t>
  </si>
  <si>
    <t>'Uvaggio' Field Blend</t>
  </si>
  <si>
    <t>Marsanne</t>
  </si>
  <si>
    <t>America</t>
  </si>
  <si>
    <t>Cabernet Sauvignon</t>
  </si>
  <si>
    <t>求和项：Total</t>
  </si>
  <si>
    <t>求和项：Quantity</t>
  </si>
  <si>
    <t>合计</t>
  </si>
  <si>
    <t>Côte Rôtie La Blonde du Seigneur</t>
  </si>
  <si>
    <t>Domaine Barge</t>
  </si>
  <si>
    <t>Côte Rôtie Brune</t>
  </si>
  <si>
    <t>Côte Rôtie Seigneur de Maugiron</t>
  </si>
  <si>
    <t>Côte Rôtie Lancement</t>
  </si>
  <si>
    <t>Julien Pilon</t>
  </si>
  <si>
    <t>Condrieu Lône</t>
  </si>
  <si>
    <t>Chevalier de Sterimberg Hermitage Blanc</t>
  </si>
  <si>
    <t>Domaine Jasmin</t>
  </si>
  <si>
    <t>Côte Rôtie la Giroflarie</t>
  </si>
  <si>
    <t>Maison Stephan</t>
  </si>
  <si>
    <t>Côte Rôtie Coteaux de Tupin</t>
  </si>
  <si>
    <t>Côte Rôtie Ampuis</t>
  </si>
  <si>
    <t>Gangloff</t>
  </si>
  <si>
    <t>Côte Rôtie Barbarine</t>
  </si>
  <si>
    <t>Domaine Clusel-Roch</t>
  </si>
  <si>
    <t>Côte Rôtie Les Grandes Places</t>
  </si>
  <si>
    <t>La Belle Helene</t>
  </si>
  <si>
    <t>Sub-region</t>
  </si>
  <si>
    <t>Discount</t>
  </si>
  <si>
    <t>Saint Peray</t>
  </si>
  <si>
    <t>-</t>
  </si>
  <si>
    <t>Croze-Hermitage</t>
  </si>
  <si>
    <t>TOTAL</t>
  </si>
  <si>
    <t>上酒</t>
  </si>
  <si>
    <t>东篱</t>
  </si>
  <si>
    <t>Jean-Luc Colombo</t>
  </si>
  <si>
    <t>Vallon de l'Aigle</t>
  </si>
  <si>
    <t>Frank Balthazar</t>
  </si>
  <si>
    <t>母仪</t>
  </si>
  <si>
    <t>Breze</t>
  </si>
  <si>
    <t>Fee</t>
  </si>
  <si>
    <t>Total_Fee</t>
  </si>
  <si>
    <t>Famille Joly</t>
  </si>
  <si>
    <t>La Coulée de Serrant</t>
  </si>
  <si>
    <t>A</t>
  </si>
  <si>
    <t>B</t>
  </si>
  <si>
    <t>Philipponnat</t>
  </si>
  <si>
    <t>Clos desGoisses Juste Rose</t>
  </si>
  <si>
    <t>年份</t>
  </si>
  <si>
    <t>综合评分</t>
  </si>
  <si>
    <t>Château Pape Clement</t>
  </si>
  <si>
    <t>Blanc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</si>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</sst>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&quot;¥&quot;#,##0.00_);[Red]\(&quot;¥&quot;#,##0.00\)"/>
  </numFmts>
  <fonts count="12">
    <font>
      <sz val="10"/>
      <color theme="1"/>
      <name val="等线"/>
      <family val="2"/>
      <charset val="134"/>
      <scheme val="minor"/>
    </font>
    <font>
      <b/>
      <sz val="11"/>
      <name val="Arial"/>
    </font>
    <font>
      <sz val="11"/>
      <name val="Arial"/>
    </font>
    <font>
      <sz val="10"/>
      <name val="等线"/>
      <charset val="134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9"/>
      <color rgb="FF0D0D0D"/>
      <name val="Segoe UI"/>
    </font>
    <font>
      <sz val="9"/>
      <name val="等线"/>
      <family val="2"/>
      <charset val="134"/>
      <scheme val="minor"/>
    </font>
  </fonts>
  <fills count="4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8CDDFA"/>
      </patternFill>
    </fill>
    <fill>
      <patternFill patternType="solid">
        <fgColor rgb="FFFFEEAD"/>
      </patternFill>
    </fill>
    <fill>
      <patternFill patternType="solid">
        <fgColor rgb="FFFFFF00"/>
      </patternFill>
    </fill>
    <fill>
      <patternFill patternType="solid">
        <fgColor rgb="FFFF9C99"/>
      </patternFill>
    </fill>
    <fill>
      <patternFill patternType="solid">
        <fgColor rgb="FFFFEEAD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C3EAD5"/>
      </patternFill>
    </fill>
    <fill>
      <patternFill patternType="solid">
        <fgColor rgb="FFFFBA84"/>
        <bgColor auto="1"/>
      </patternFill>
    </fill>
    <fill>
      <patternFill patternType="solid">
        <fgColor rgb="FFFFBA84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F00"/>
        <bgColor rgb="FF000000"/>
      </patternFill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F1E783"/>
        <bgColor rgb="FF000000"/>
      </patternFill>
    </fill>
    <fill>
      <patternFill patternType="solid">
        <fgColor rgb="FFFCB079"/>
        <bgColor rgb="FF000000"/>
      </patternFill>
    </fill>
    <fill>
      <patternFill patternType="solid">
        <fgColor rgb="FFFCA577"/>
        <bgColor rgb="FF000000"/>
      </patternFill>
    </fill>
    <fill>
      <patternFill patternType="solid">
        <fgColor rgb="FFFECA7E"/>
        <bgColor rgb="FF000000"/>
      </patternFill>
    </fill>
    <fill>
      <patternFill patternType="solid">
        <fgColor rgb="FFFFDB81"/>
        <bgColor rgb="FF000000"/>
      </patternFill>
    </fill>
    <fill>
      <patternFill patternType="solid">
        <fgColor rgb="FFFDBB7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EAE582"/>
        <bgColor rgb="FF000000"/>
      </patternFill>
    </fill>
    <fill>
      <patternFill patternType="solid">
        <fgColor rgb="FFFFE082"/>
        <bgColor rgb="FF000000"/>
      </patternFill>
    </fill>
    <fill>
      <patternFill patternType="solid">
        <fgColor rgb="FFEDE582"/>
        <bgColor rgb="FF000000"/>
      </patternFill>
    </fill>
    <fill>
      <patternFill patternType="solid">
        <fgColor rgb="FFFCB37A"/>
        <bgColor rgb="FF000000"/>
      </patternFill>
    </fill>
    <fill>
      <patternFill patternType="solid">
        <fgColor rgb="FFFCA877"/>
        <bgColor rgb="FF000000"/>
      </patternFill>
    </fill>
    <fill>
      <patternFill patternType="solid">
        <fgColor rgb="FFC6DA80"/>
        <bgColor rgb="FF000000"/>
      </patternFill>
    </fill>
    <fill>
      <patternFill patternType="solid">
        <fgColor rgb="FFC1D980"/>
        <bgColor rgb="FF000000"/>
      </patternFill>
    </fill>
    <fill>
      <patternFill patternType="solid">
        <fgColor rgb="FFE5E382"/>
        <bgColor rgb="FF000000"/>
      </patternFill>
    </fill>
    <fill>
      <patternFill patternType="solid">
        <fgColor rgb="FFB7D67F"/>
        <bgColor rgb="FF000000"/>
      </patternFill>
    </fill>
    <fill>
      <patternFill patternType="solid">
        <fgColor rgb="FFFDC17C"/>
        <bgColor rgb="FF000000"/>
      </patternFill>
    </fill>
    <fill>
      <patternFill patternType="solid">
        <fgColor rgb="FFE0E282"/>
        <bgColor rgb="FF000000"/>
      </patternFill>
    </fill>
    <fill>
      <patternFill patternType="solid">
        <fgColor rgb="FFFFE383"/>
        <bgColor rgb="FF000000"/>
      </patternFill>
    </fill>
    <fill>
      <patternFill patternType="solid">
        <fgColor rgb="FFE7E482"/>
        <bgColor rgb="FF000000"/>
      </patternFill>
    </fill>
    <fill>
      <patternFill patternType="solid">
        <fgColor rgb="FF89C97D"/>
        <bgColor rgb="FF000000"/>
      </patternFill>
    </fill>
    <fill>
      <patternFill patternType="solid">
        <fgColor rgb="FFFFDD82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DBE081"/>
        <bgColor rgb="FF000000"/>
      </patternFill>
    </fill>
    <fill>
      <patternFill patternType="solid">
        <fgColor rgb="FFFA8971"/>
        <bgColor rgb="FF000000"/>
      </patternFill>
    </fill>
    <fill>
      <patternFill patternType="solid">
        <fgColor rgb="FFFDBE7C"/>
        <bgColor rgb="FF000000"/>
      </patternFill>
    </fill>
    <fill>
      <patternFill patternType="solid">
        <fgColor rgb="FF72C27B"/>
        <bgColor rgb="FF000000"/>
      </patternFill>
    </fill>
    <fill>
      <patternFill patternType="solid">
        <fgColor rgb="FFFFEEAD"/>
      </patternFill>
    </fill>
    <fill>
      <patternFill patternType="solid">
        <fgColor rgb="FFFFC000"/>
      </patternFill>
    </fill>
    <fill>
      <patternFill patternType="solid">
        <fgColor rgb="FF8CDDFA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0" fontId="0" fillId="3" borderId="2" xfId="0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3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176" fontId="2" fillId="4" borderId="2" xfId="0" applyNumberFormat="1" applyFon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3" fillId="0" borderId="2" xfId="0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/>
    <xf numFmtId="0" fontId="5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2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5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8" fillId="0" borderId="1" xfId="0" applyFont="1" applyBorder="1">
      <alignment vertical="center"/>
    </xf>
    <xf numFmtId="177" fontId="8" fillId="0" borderId="1" xfId="0" applyNumberFormat="1" applyFont="1" applyBorder="1">
      <alignment vertical="center"/>
    </xf>
    <xf numFmtId="0" fontId="9" fillId="2" borderId="10" xfId="0" applyFont="1" applyFill="1" applyBorder="1">
      <alignment vertical="center"/>
    </xf>
    <xf numFmtId="0" fontId="9" fillId="2" borderId="11" xfId="0" applyFont="1" applyFill="1" applyBorder="1">
      <alignment vertical="center"/>
    </xf>
    <xf numFmtId="0" fontId="9" fillId="2" borderId="11" xfId="0" applyFont="1" applyFill="1" applyBorder="1" applyAlignment="1">
      <alignment horizontal="left" vertical="center"/>
    </xf>
    <xf numFmtId="177" fontId="9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/>
    <xf numFmtId="0" fontId="2" fillId="9" borderId="1" xfId="0" applyFont="1" applyFill="1" applyBorder="1">
      <alignment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>
      <alignment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>
      <alignment vertical="center"/>
    </xf>
    <xf numFmtId="0" fontId="2" fillId="11" borderId="1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9" fillId="4" borderId="1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left" vertical="center"/>
    </xf>
    <xf numFmtId="0" fontId="9" fillId="0" borderId="12" xfId="0" applyFont="1" applyBorder="1">
      <alignment vertical="center"/>
    </xf>
    <xf numFmtId="0" fontId="9" fillId="0" borderId="12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8" fillId="0" borderId="2" xfId="0" applyFont="1" applyBorder="1">
      <alignment vertical="center"/>
    </xf>
    <xf numFmtId="0" fontId="9" fillId="12" borderId="9" xfId="0" applyFont="1" applyFill="1" applyBorder="1" applyAlignment="1">
      <alignment horizontal="left" vertical="center"/>
    </xf>
    <xf numFmtId="0" fontId="9" fillId="13" borderId="9" xfId="0" applyFont="1" applyFill="1" applyBorder="1">
      <alignment vertical="center"/>
    </xf>
    <xf numFmtId="0" fontId="8" fillId="0" borderId="6" xfId="0" applyFont="1" applyBorder="1" applyAlignment="1">
      <alignment horizontal="left" vertical="center"/>
    </xf>
    <xf numFmtId="0" fontId="9" fillId="14" borderId="9" xfId="0" applyFont="1" applyFill="1" applyBorder="1">
      <alignment vertical="center"/>
    </xf>
    <xf numFmtId="0" fontId="9" fillId="0" borderId="9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9" fillId="0" borderId="13" xfId="0" applyFont="1" applyBorder="1" applyAlignment="1">
      <alignment horizontal="left" vertical="center"/>
    </xf>
    <xf numFmtId="0" fontId="10" fillId="15" borderId="15" xfId="0" applyFont="1" applyFill="1" applyBorder="1" applyAlignment="1">
      <alignment horizontal="center" wrapText="1"/>
    </xf>
    <xf numFmtId="0" fontId="10" fillId="15" borderId="16" xfId="0" applyFont="1" applyFill="1" applyBorder="1" applyAlignment="1">
      <alignment horizontal="center" wrapText="1"/>
    </xf>
    <xf numFmtId="0" fontId="10" fillId="15" borderId="17" xfId="0" applyFont="1" applyFill="1" applyBorder="1" applyAlignment="1">
      <alignment vertical="center" wrapText="1"/>
    </xf>
    <xf numFmtId="0" fontId="10" fillId="16" borderId="18" xfId="0" applyFont="1" applyFill="1" applyBorder="1" applyAlignment="1">
      <alignment vertical="center" wrapText="1"/>
    </xf>
    <xf numFmtId="0" fontId="10" fillId="17" borderId="18" xfId="0" applyFont="1" applyFill="1" applyBorder="1" applyAlignment="1">
      <alignment vertical="center" wrapText="1"/>
    </xf>
    <xf numFmtId="0" fontId="10" fillId="18" borderId="18" xfId="0" applyFont="1" applyFill="1" applyBorder="1" applyAlignment="1">
      <alignment vertical="center" wrapText="1"/>
    </xf>
    <xf numFmtId="0" fontId="10" fillId="19" borderId="18" xfId="0" applyFont="1" applyFill="1" applyBorder="1" applyAlignment="1">
      <alignment vertical="center" wrapText="1"/>
    </xf>
    <xf numFmtId="0" fontId="10" fillId="20" borderId="18" xfId="0" applyFont="1" applyFill="1" applyBorder="1" applyAlignment="1">
      <alignment vertical="center" wrapText="1"/>
    </xf>
    <xf numFmtId="0" fontId="10" fillId="21" borderId="18" xfId="0" applyFont="1" applyFill="1" applyBorder="1" applyAlignment="1">
      <alignment vertical="center" wrapText="1"/>
    </xf>
    <xf numFmtId="0" fontId="10" fillId="22" borderId="18" xfId="0" applyFont="1" applyFill="1" applyBorder="1" applyAlignment="1">
      <alignment vertical="center" wrapText="1"/>
    </xf>
    <xf numFmtId="0" fontId="10" fillId="23" borderId="18" xfId="0" applyFont="1" applyFill="1" applyBorder="1" applyAlignment="1">
      <alignment vertical="center" wrapText="1"/>
    </xf>
    <xf numFmtId="0" fontId="10" fillId="24" borderId="18" xfId="0" applyFont="1" applyFill="1" applyBorder="1" applyAlignment="1">
      <alignment vertical="center" wrapText="1"/>
    </xf>
    <xf numFmtId="0" fontId="10" fillId="25" borderId="18" xfId="0" applyFont="1" applyFill="1" applyBorder="1" applyAlignment="1">
      <alignment vertical="center" wrapText="1"/>
    </xf>
    <xf numFmtId="0" fontId="10" fillId="26" borderId="18" xfId="0" applyFont="1" applyFill="1" applyBorder="1" applyAlignment="1">
      <alignment vertical="center" wrapText="1"/>
    </xf>
    <xf numFmtId="0" fontId="10" fillId="27" borderId="18" xfId="0" applyFont="1" applyFill="1" applyBorder="1" applyAlignment="1">
      <alignment vertical="center" wrapText="1"/>
    </xf>
    <xf numFmtId="0" fontId="10" fillId="28" borderId="18" xfId="0" applyFont="1" applyFill="1" applyBorder="1" applyAlignment="1">
      <alignment vertical="center" wrapText="1"/>
    </xf>
    <xf numFmtId="0" fontId="10" fillId="29" borderId="18" xfId="0" applyFont="1" applyFill="1" applyBorder="1" applyAlignment="1">
      <alignment vertical="center" wrapText="1"/>
    </xf>
    <xf numFmtId="0" fontId="10" fillId="30" borderId="18" xfId="0" applyFont="1" applyFill="1" applyBorder="1" applyAlignment="1">
      <alignment vertical="center" wrapText="1"/>
    </xf>
    <xf numFmtId="0" fontId="10" fillId="31" borderId="18" xfId="0" applyFont="1" applyFill="1" applyBorder="1" applyAlignment="1">
      <alignment vertical="center" wrapText="1"/>
    </xf>
    <xf numFmtId="0" fontId="10" fillId="32" borderId="18" xfId="0" applyFont="1" applyFill="1" applyBorder="1" applyAlignment="1">
      <alignment vertical="center" wrapText="1"/>
    </xf>
    <xf numFmtId="0" fontId="10" fillId="33" borderId="18" xfId="0" applyFont="1" applyFill="1" applyBorder="1" applyAlignment="1">
      <alignment vertical="center" wrapText="1"/>
    </xf>
    <xf numFmtId="0" fontId="10" fillId="34" borderId="18" xfId="0" applyFont="1" applyFill="1" applyBorder="1" applyAlignment="1">
      <alignment vertical="center" wrapText="1"/>
    </xf>
    <xf numFmtId="0" fontId="10" fillId="35" borderId="18" xfId="0" applyFont="1" applyFill="1" applyBorder="1" applyAlignment="1">
      <alignment vertical="center" wrapText="1"/>
    </xf>
    <xf numFmtId="0" fontId="10" fillId="36" borderId="18" xfId="0" applyFont="1" applyFill="1" applyBorder="1" applyAlignment="1">
      <alignment vertical="center" wrapText="1"/>
    </xf>
    <xf numFmtId="0" fontId="10" fillId="37" borderId="18" xfId="0" applyFont="1" applyFill="1" applyBorder="1" applyAlignment="1">
      <alignment vertical="center" wrapText="1"/>
    </xf>
    <xf numFmtId="0" fontId="10" fillId="38" borderId="18" xfId="0" applyFont="1" applyFill="1" applyBorder="1" applyAlignment="1">
      <alignment vertical="center" wrapText="1"/>
    </xf>
    <xf numFmtId="0" fontId="10" fillId="39" borderId="18" xfId="0" applyFont="1" applyFill="1" applyBorder="1" applyAlignment="1">
      <alignment vertical="center" wrapText="1"/>
    </xf>
    <xf numFmtId="0" fontId="10" fillId="40" borderId="18" xfId="0" applyFont="1" applyFill="1" applyBorder="1" applyAlignment="1">
      <alignment vertical="center" wrapText="1"/>
    </xf>
    <xf numFmtId="0" fontId="10" fillId="41" borderId="18" xfId="0" applyFont="1" applyFill="1" applyBorder="1" applyAlignment="1">
      <alignment vertical="center" wrapText="1"/>
    </xf>
    <xf numFmtId="0" fontId="10" fillId="42" borderId="18" xfId="0" applyFont="1" applyFill="1" applyBorder="1" applyAlignment="1">
      <alignment vertical="center" wrapText="1"/>
    </xf>
    <xf numFmtId="0" fontId="10" fillId="15" borderId="18" xfId="0" applyFont="1" applyFill="1" applyBorder="1" applyAlignment="1">
      <alignment vertical="center" wrapText="1"/>
    </xf>
    <xf numFmtId="0" fontId="10" fillId="43" borderId="18" xfId="0" applyFont="1" applyFill="1" applyBorder="1" applyAlignment="1">
      <alignment vertical="center" wrapText="1"/>
    </xf>
    <xf numFmtId="0" fontId="0" fillId="44" borderId="0" xfId="0" applyFill="1">
      <alignment vertical="center"/>
    </xf>
    <xf numFmtId="0" fontId="0" fillId="45" borderId="0" xfId="0" applyFill="1">
      <alignment vertical="center"/>
    </xf>
    <xf numFmtId="0" fontId="0" fillId="46" borderId="0" xfId="0" applyFill="1">
      <alignment vertical="center"/>
    </xf>
    <xf numFmtId="0" fontId="0" fillId="0" borderId="3" xfId="0" applyBorder="1">
      <alignment vertical="center"/>
    </xf>
    <xf numFmtId="177" fontId="0" fillId="0" borderId="2" xfId="0" applyNumberFormat="1" applyBorder="1">
      <alignment vertical="center"/>
    </xf>
    <xf numFmtId="0" fontId="7" fillId="0" borderId="3" xfId="0" applyFont="1" applyBorder="1">
      <alignment vertical="center"/>
    </xf>
    <xf numFmtId="0" fontId="0" fillId="0" borderId="14" xfId="0" applyBorder="1">
      <alignment vertical="center"/>
    </xf>
    <xf numFmtId="0" fontId="0" fillId="0" borderId="10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陆凯欣" refreshedDate="46186.576661689818" createdVersion="8" refreshedVersion="8" recordCount="114" xr:uid="{00000000-000A-0000-FFFF-FFFFAE060000}">
  <cacheSource type="worksheet">
    <worksheetSource ref="A1:N115" sheet="Stock"/>
  </cacheSource>
  <cacheFields count="14">
    <cacheField name="No" numFmtId="0">
      <sharedItems containsSemiMixedTypes="0" containsString="0" containsNumber="1" containsInteger="1" minValue="1" maxValue="114"/>
    </cacheField>
    <cacheField name="Country" numFmtId="0">
      <sharedItems count="11">
        <s v="France"/>
        <s v="Italy"/>
        <s v="Chile"/>
        <s v="USA"/>
        <s v="Spain"/>
        <s v="Australia"/>
        <s v="Portugal"/>
        <s v="China"/>
        <s v="New Zealand"/>
        <s v="Hungary"/>
        <s v="Germany"/>
      </sharedItems>
    </cacheField>
    <cacheField name="Region" numFmtId="0">
      <sharedItems count="26">
        <s v="Sorthern Rhone"/>
        <s v="Northern Rhone"/>
        <s v="Loire"/>
        <s v="Bordeaux"/>
        <s v="Amarone della Valpolicella"/>
        <s v="Brunello di Montalcino"/>
        <s v="Barolo"/>
        <s v="Puente Alto"/>
        <s v="Barbaresco"/>
        <s v="Napa Valley"/>
        <s v="Campo de Borja"/>
        <s v="Abruzzo"/>
        <s v="Barossa Valley"/>
        <s v="Porto"/>
        <s v="Helan Mountain"/>
        <s v="Margaret River"/>
        <s v="Campania"/>
        <s v="Burgundy"/>
        <s v="Central Otago"/>
        <s v="Canberra"/>
        <s v="Hawke's Bay"/>
        <s v="Tokaj"/>
        <s v="Martinborough"/>
        <s v="Canterbury"/>
        <s v="Ahr"/>
        <s v="Yarra Valley"/>
      </sharedItems>
    </cacheField>
    <cacheField name="Sub-Region" numFmtId="0">
      <sharedItems/>
    </cacheField>
    <cacheField name="Producer" numFmtId="0">
      <sharedItems/>
    </cacheField>
    <cacheField name="Wine" numFmtId="0">
      <sharedItems/>
    </cacheField>
    <cacheField name="Style" numFmtId="0">
      <sharedItems/>
    </cacheField>
    <cacheField name="Vintage" numFmtId="0">
      <sharedItems containsSemiMixedTypes="0" containsString="0" containsNumber="1" containsInteger="1" minValue="1975" maxValue="2022"/>
    </cacheField>
    <cacheField name="Quantity" numFmtId="0">
      <sharedItems containsSemiMixedTypes="0" containsString="0" containsNumber="1" containsInteger="1" minValue="1" maxValue="2"/>
    </cacheField>
    <cacheField name="Cost" numFmtId="176">
      <sharedItems containsString="0" containsBlank="1" containsNumber="1" containsInteger="1" minValue="310" maxValue="4250"/>
    </cacheField>
    <cacheField name="Channel" numFmtId="0">
      <sharedItems containsBlank="1"/>
    </cacheField>
    <cacheField name="WS Price" numFmtId="176">
      <sharedItems containsString="0" containsBlank="1" containsNumber="1" containsInteger="1" minValue="310" maxValue="6847"/>
    </cacheField>
    <cacheField name="Status" numFmtId="0">
      <sharedItems containsBlank="1"/>
    </cacheField>
    <cacheField name="Total" numFmtId="0">
      <sharedItems containsSemiMixedTypes="0" containsString="0" containsNumber="1" containsInteger="1" minValue="0" maxValue="10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1"/>
    <x v="0"/>
    <x v="0"/>
    <s v="Châteauneuf-du-Pape"/>
    <s v="Henri Bonneau"/>
    <s v="Châteauneuf-du-Pape Reserve des Celestins"/>
    <s v="Red"/>
    <n v="2005"/>
    <n v="1"/>
    <m/>
    <s v="Idealwine"/>
    <n v="6847"/>
    <s v="FR"/>
    <n v="6847"/>
  </r>
  <r>
    <n v="2"/>
    <x v="0"/>
    <x v="0"/>
    <s v="Châteauneuf-du-Pape"/>
    <s v="Henri Bonneau"/>
    <s v="Châteauneuf-du-Pape Reserve des Celestins"/>
    <s v="Red"/>
    <n v="2010"/>
    <n v="1"/>
    <m/>
    <s v="Idealwine"/>
    <n v="6390"/>
    <m/>
    <n v="6390"/>
  </r>
  <r>
    <n v="3"/>
    <x v="0"/>
    <x v="1"/>
    <s v="Hermitage"/>
    <s v="Domaine Jean-Louis Chave"/>
    <s v="Hermitage"/>
    <s v="Red"/>
    <n v="1999"/>
    <n v="1"/>
    <m/>
    <s v="Idealwine"/>
    <n v="6120"/>
    <s v="FR"/>
    <n v="6120"/>
  </r>
  <r>
    <n v="4"/>
    <x v="0"/>
    <x v="1"/>
    <s v="Hermitage"/>
    <s v="Domaine Jean-Louis Chave"/>
    <s v="Hermitage"/>
    <s v="Red"/>
    <n v="1999"/>
    <n v="1"/>
    <m/>
    <s v="Idealwine"/>
    <n v="6120"/>
    <m/>
    <n v="6120"/>
  </r>
  <r>
    <n v="5"/>
    <x v="0"/>
    <x v="1"/>
    <s v="Hermitage"/>
    <s v="Paul Jaboulet Aine - Domaine de la Chapelle"/>
    <s v="Hermitage La Chapelle"/>
    <s v="Red"/>
    <n v="1990"/>
    <n v="1"/>
    <m/>
    <s v="Idealwine"/>
    <n v="5485"/>
    <m/>
    <n v="5485"/>
  </r>
  <r>
    <n v="6"/>
    <x v="0"/>
    <x v="1"/>
    <s v="Hermitage"/>
    <s v="Domaine Jean-Louis Chave"/>
    <s v="Hermitage"/>
    <s v="Red"/>
    <n v="2009"/>
    <n v="1"/>
    <m/>
    <s v="Idealwine"/>
    <n v="5467"/>
    <m/>
    <n v="5467"/>
  </r>
  <r>
    <n v="7"/>
    <x v="0"/>
    <x v="1"/>
    <s v="Côte Rôtie"/>
    <s v="E.Guigal"/>
    <s v="Côte Rôtie La Mouline"/>
    <s v="Red"/>
    <n v="2003"/>
    <n v="2"/>
    <m/>
    <s v="Idealwine"/>
    <n v="5429"/>
    <m/>
    <n v="10858"/>
  </r>
  <r>
    <n v="8"/>
    <x v="0"/>
    <x v="1"/>
    <s v="Côte Rôtie"/>
    <s v="E.Guigal"/>
    <s v="Côte Rôtie La Turque"/>
    <s v="Red"/>
    <n v="2003"/>
    <n v="2"/>
    <m/>
    <s v="Idealwine"/>
    <n v="5271"/>
    <m/>
    <n v="10542"/>
  </r>
  <r>
    <n v="9"/>
    <x v="0"/>
    <x v="1"/>
    <s v="Côte Rôtie"/>
    <s v="E.Guigal"/>
    <s v="Côte Rôtie La Landonne"/>
    <s v="Red"/>
    <n v="2003"/>
    <n v="1"/>
    <m/>
    <s v="Idealwine"/>
    <n v="5038"/>
    <m/>
    <n v="5038"/>
  </r>
  <r>
    <n v="10"/>
    <x v="0"/>
    <x v="1"/>
    <s v="Côte Rôtie"/>
    <s v="E.Guigal"/>
    <s v="Côte Rôtie La Landonne"/>
    <s v="Red"/>
    <n v="2005"/>
    <n v="1"/>
    <m/>
    <s v="Idealwine"/>
    <n v="4534"/>
    <m/>
    <n v="4534"/>
  </r>
  <r>
    <n v="11"/>
    <x v="0"/>
    <x v="1"/>
    <s v="Côte Rôtie"/>
    <s v="Domaine Jamet"/>
    <s v="Cote Rotie"/>
    <s v="Red"/>
    <n v="1999"/>
    <n v="1"/>
    <m/>
    <s v="Idealwine"/>
    <n v="4151"/>
    <m/>
    <n v="4151"/>
  </r>
  <r>
    <n v="12"/>
    <x v="0"/>
    <x v="2"/>
    <s v="Saumur-Champigny"/>
    <s v="Clos Rougeard"/>
    <s v="Saumur-Champigny Les Poyeux"/>
    <s v="Red"/>
    <n v="1996"/>
    <n v="1"/>
    <n v="4250"/>
    <s v="Wines"/>
    <n v="3955"/>
    <s v="　"/>
    <n v="3955"/>
  </r>
  <r>
    <n v="13"/>
    <x v="0"/>
    <x v="1"/>
    <s v="Hermitage"/>
    <s v="Domaine Jean-Louis Chave"/>
    <s v="Hermitage"/>
    <s v="Red"/>
    <n v="2015"/>
    <n v="1"/>
    <m/>
    <s v="PrivateSeller"/>
    <n v="3908"/>
    <m/>
    <n v="3908"/>
  </r>
  <r>
    <n v="14"/>
    <x v="0"/>
    <x v="1"/>
    <s v="Hermitage"/>
    <s v="Domaine Jean-Louis Chave"/>
    <s v="Hermitage"/>
    <s v="Red"/>
    <n v="2022"/>
    <n v="1"/>
    <n v="2088"/>
    <s v="J"/>
    <m/>
    <m/>
    <n v="0"/>
  </r>
  <r>
    <n v="15"/>
    <x v="0"/>
    <x v="2"/>
    <s v="Saumur-Champigny"/>
    <s v="Clos Rougeard"/>
    <s v="Saumur-Champigny Le Bourg"/>
    <s v="Red"/>
    <n v="2008"/>
    <n v="1"/>
    <n v="3400"/>
    <s v="Idealwine"/>
    <n v="3722"/>
    <m/>
    <n v="3722"/>
  </r>
  <r>
    <n v="16"/>
    <x v="0"/>
    <x v="1"/>
    <s v="Côte Rôtie"/>
    <s v="Domaine Rene Rostaing"/>
    <s v="Côte Rôtie Côte Brune"/>
    <s v="Red"/>
    <n v="2018"/>
    <n v="1"/>
    <n v="2488"/>
    <s v="Vinehoo"/>
    <n v="3396"/>
    <s v="　"/>
    <n v="3396"/>
  </r>
  <r>
    <n v="17"/>
    <x v="0"/>
    <x v="1"/>
    <s v="Côte Rôtie"/>
    <s v="E.Guigal"/>
    <s v="Côte Rôtie La Mouline"/>
    <s v="Red"/>
    <n v="2018"/>
    <n v="1"/>
    <n v="2249"/>
    <s v="Vinehoo"/>
    <n v="3153"/>
    <s v="　"/>
    <n v="3153"/>
  </r>
  <r>
    <n v="18"/>
    <x v="0"/>
    <x v="1"/>
    <s v="Hermitage"/>
    <s v="M.Chapoutier"/>
    <s v="L'Ermite"/>
    <s v="Red"/>
    <n v="2013"/>
    <n v="1"/>
    <m/>
    <s v="Idealwine"/>
    <n v="2995"/>
    <m/>
    <n v="2995"/>
  </r>
  <r>
    <n v="19"/>
    <x v="0"/>
    <x v="3"/>
    <s v="Margaux"/>
    <s v="Château Palmer"/>
    <s v="　"/>
    <s v="Red"/>
    <n v="2016"/>
    <n v="1"/>
    <n v="2128"/>
    <s v="WineWorld"/>
    <n v="2883"/>
    <s v="　"/>
    <n v="2883"/>
  </r>
  <r>
    <n v="20"/>
    <x v="0"/>
    <x v="1"/>
    <s v="Côte Rôtie"/>
    <s v="E.Guigal"/>
    <s v="Côte Rôtie La Landonne"/>
    <s v="Red"/>
    <n v="2018"/>
    <n v="1"/>
    <n v="2349"/>
    <s v="Vinehoo"/>
    <n v="2873"/>
    <s v="　"/>
    <n v="2873"/>
  </r>
  <r>
    <n v="21"/>
    <x v="0"/>
    <x v="1"/>
    <s v="Côte Rôtie"/>
    <s v="E.Guigal"/>
    <s v="Côte Rôtie La Turque"/>
    <s v="Red"/>
    <n v="2018"/>
    <n v="1"/>
    <n v="2299"/>
    <s v="Vinehoo"/>
    <n v="2836"/>
    <s v="　"/>
    <n v="2836"/>
  </r>
  <r>
    <n v="22"/>
    <x v="0"/>
    <x v="1"/>
    <s v="Côte Rôtie"/>
    <s v="Michel &amp; Stephane Ogier"/>
    <s v="Cote Rotie La Belle Helene"/>
    <s v="Red"/>
    <n v="2016"/>
    <n v="1"/>
    <n v="1780"/>
    <s v="XINGSONG"/>
    <n v="2780"/>
    <s v="　"/>
    <n v="2780"/>
  </r>
  <r>
    <n v="23"/>
    <x v="0"/>
    <x v="1"/>
    <s v="Côte Rôtie"/>
    <s v="Michel &amp; Stephane Ogier"/>
    <s v="Cote Rotie Lancement"/>
    <s v="Red"/>
    <n v="2016"/>
    <n v="1"/>
    <n v="1680"/>
    <s v="XINGSONG"/>
    <n v="2780"/>
    <s v="　"/>
    <n v="2780"/>
  </r>
  <r>
    <n v="24"/>
    <x v="0"/>
    <x v="1"/>
    <s v="Château-Grillet"/>
    <s v="Château-Grillet"/>
    <s v="Château-Grillet"/>
    <s v="White"/>
    <n v="2016"/>
    <n v="1"/>
    <n v="2400"/>
    <s v="VitisWISE"/>
    <n v="2761"/>
    <s v="　"/>
    <n v="2761"/>
  </r>
  <r>
    <n v="25"/>
    <x v="0"/>
    <x v="2"/>
    <s v="Sancerre"/>
    <s v="Vincent Gaudry"/>
    <s v="Sancerre Blanc Les Monts Damnes"/>
    <s v="White"/>
    <n v="2022"/>
    <n v="1"/>
    <n v="1104"/>
    <s v="Vague"/>
    <m/>
    <m/>
    <n v="0"/>
  </r>
  <r>
    <n v="26"/>
    <x v="0"/>
    <x v="0"/>
    <s v="Châteauneuf-du-Pape"/>
    <s v="Henri Bonneau"/>
    <s v="Châteauneuf-du-Pape Reserve des Celestins"/>
    <s v="Red"/>
    <n v="2012"/>
    <n v="1"/>
    <n v="2850"/>
    <s v="Wines"/>
    <n v="2705"/>
    <s v="　"/>
    <n v="2705"/>
  </r>
  <r>
    <n v="27"/>
    <x v="0"/>
    <x v="3"/>
    <s v="Pauillac"/>
    <s v="Château Lafite Rothschild"/>
    <s v="Carruades de Lafite"/>
    <s v="Red"/>
    <n v="2018"/>
    <n v="2"/>
    <n v="2100"/>
    <s v="PrivateSeller"/>
    <n v="2696"/>
    <s v="　"/>
    <n v="5392"/>
  </r>
  <r>
    <n v="28"/>
    <x v="1"/>
    <x v="4"/>
    <s v="Amarone della Valpolicella"/>
    <s v="Giuseppe Quintarelli"/>
    <s v="Amarone della Valpolicella Classico DOCG"/>
    <s v="Red"/>
    <n v="2015"/>
    <n v="1"/>
    <m/>
    <m/>
    <n v="2605"/>
    <s v="　"/>
    <n v="2605"/>
  </r>
  <r>
    <n v="29"/>
    <x v="0"/>
    <x v="1"/>
    <s v="Hermitage"/>
    <s v="M.Chapoutier"/>
    <s v="Le Pavillon"/>
    <s v="Red"/>
    <n v="2010"/>
    <n v="1"/>
    <n v="1780"/>
    <s v="Wines"/>
    <n v="2603"/>
    <m/>
    <n v="2603"/>
  </r>
  <r>
    <n v="30"/>
    <x v="0"/>
    <x v="1"/>
    <s v="Cornas"/>
    <s v="Thierry Allemand"/>
    <s v="Cornas Chaillots"/>
    <s v="Red"/>
    <n v="2011"/>
    <n v="1"/>
    <n v="2299"/>
    <s v="Vinehoo"/>
    <n v="2509"/>
    <s v="　"/>
    <n v="2509"/>
  </r>
  <r>
    <n v="31"/>
    <x v="1"/>
    <x v="5"/>
    <s v="Brunello di Montalcino"/>
    <s v="Stella di Campalto"/>
    <s v="Cielo"/>
    <s v="Red"/>
    <n v="2018"/>
    <n v="2"/>
    <n v="2100"/>
    <s v="PrivateSeller"/>
    <n v="2443"/>
    <s v="　"/>
    <n v="4886"/>
  </r>
  <r>
    <n v="32"/>
    <x v="0"/>
    <x v="1"/>
    <s v="Côte Rôtie"/>
    <s v="Domaine Jamet"/>
    <s v="Cote Rotie"/>
    <s v="Red"/>
    <n v="2009"/>
    <n v="1"/>
    <m/>
    <s v="Idealwine"/>
    <n v="2407"/>
    <m/>
    <n v="2407"/>
  </r>
  <r>
    <n v="33"/>
    <x v="1"/>
    <x v="4"/>
    <s v="Amarone della Valpolicella"/>
    <s v="Bertani"/>
    <s v="Amarone della Valpolicella Classico DOCG"/>
    <s v="Red"/>
    <n v="2000"/>
    <n v="1"/>
    <m/>
    <m/>
    <n v="2361"/>
    <s v="　"/>
    <n v="2361"/>
  </r>
  <r>
    <n v="34"/>
    <x v="0"/>
    <x v="1"/>
    <s v="Hermitage"/>
    <s v="M.Chapoutier"/>
    <s v="L'Ermite"/>
    <s v="Red"/>
    <n v="2001"/>
    <n v="1"/>
    <m/>
    <s v="Idealwine"/>
    <n v="2323"/>
    <m/>
    <n v="2323"/>
  </r>
  <r>
    <n v="35"/>
    <x v="0"/>
    <x v="1"/>
    <s v="Côte Rôtie"/>
    <s v="E.Guigal"/>
    <s v="Côte Rôtie La Landonne"/>
    <s v="Red"/>
    <n v="2014"/>
    <n v="1"/>
    <n v="2280"/>
    <s v="Wines"/>
    <n v="2246"/>
    <s v="　"/>
    <n v="2246"/>
  </r>
  <r>
    <n v="36"/>
    <x v="1"/>
    <x v="6"/>
    <s v="Barolo"/>
    <s v="Giacomo Borgogno &amp; Figli"/>
    <s v="Barolo Riserva DOCG"/>
    <s v="Red"/>
    <n v="1978"/>
    <n v="1"/>
    <m/>
    <s v="Ponti"/>
    <n v="2201"/>
    <s v="　"/>
    <n v="2201"/>
  </r>
  <r>
    <n v="37"/>
    <x v="0"/>
    <x v="1"/>
    <s v="Côte Rôtie"/>
    <s v="Domaine Jamet"/>
    <s v="Cote Rotie"/>
    <s v="Red"/>
    <n v="2005"/>
    <n v="1"/>
    <m/>
    <s v="Idealwine"/>
    <n v="2043"/>
    <m/>
    <n v="2043"/>
  </r>
  <r>
    <n v="38"/>
    <x v="0"/>
    <x v="3"/>
    <s v="Pauillac"/>
    <s v="Château Pichon Longueville Comtesse de Lalande"/>
    <s v="　"/>
    <s v="Red"/>
    <n v="1988"/>
    <n v="1"/>
    <m/>
    <s v="Idealwine"/>
    <n v="1978"/>
    <s v="FR"/>
    <n v="1978"/>
  </r>
  <r>
    <n v="39"/>
    <x v="0"/>
    <x v="3"/>
    <s v="Saint-Julien"/>
    <s v="Château Ducru-Beaucaillou"/>
    <s v="　"/>
    <s v="Red"/>
    <n v="1985"/>
    <n v="1"/>
    <m/>
    <s v="Idealwine"/>
    <n v="1959"/>
    <s v="　"/>
    <n v="1959"/>
  </r>
  <r>
    <n v="40"/>
    <x v="0"/>
    <x v="3"/>
    <s v="Pauillac"/>
    <s v="Château Pichon Longueville Comtesse de Lalande"/>
    <s v="　"/>
    <s v="Red"/>
    <n v="2019"/>
    <n v="1"/>
    <n v="1584"/>
    <s v="Vinehoo"/>
    <n v="1912"/>
    <s v="　"/>
    <n v="1912"/>
  </r>
  <r>
    <n v="41"/>
    <x v="0"/>
    <x v="3"/>
    <s v="Saint-Estephe"/>
    <s v="Château Cos d'Estournel"/>
    <s v="　"/>
    <s v="Red"/>
    <n v="1986"/>
    <n v="1"/>
    <m/>
    <s v="Idealwine"/>
    <n v="1847"/>
    <s v="　"/>
    <n v="1847"/>
  </r>
  <r>
    <n v="42"/>
    <x v="0"/>
    <x v="1"/>
    <s v="Côte Rôtie"/>
    <s v="Domaine Yves et Mathilde Gangloff"/>
    <s v="Cote Rotie La Barbarine"/>
    <s v="Red"/>
    <n v="2015"/>
    <n v="1"/>
    <n v="1888"/>
    <s v="XINGSONG"/>
    <n v="1780"/>
    <s v="　"/>
    <n v="1780"/>
  </r>
  <r>
    <n v="43"/>
    <x v="0"/>
    <x v="1"/>
    <s v="Hermitage"/>
    <s v="Domaine Marc Sorrel"/>
    <s v="Le Gréal Hermitage"/>
    <s v="Red"/>
    <n v="2019"/>
    <n v="1"/>
    <m/>
    <s v="Wines"/>
    <n v="1744"/>
    <s v="　"/>
    <n v="1744"/>
  </r>
  <r>
    <n v="44"/>
    <x v="1"/>
    <x v="5"/>
    <s v="Brunello di Montalcino"/>
    <s v="Salvioni"/>
    <s v="Brunello di Montalcino DOCG"/>
    <s v="Red"/>
    <n v="2006"/>
    <n v="1"/>
    <m/>
    <s v="Zamej"/>
    <n v="1740"/>
    <m/>
    <n v="1740"/>
  </r>
  <r>
    <n v="45"/>
    <x v="0"/>
    <x v="3"/>
    <s v="Saint-Estephe"/>
    <s v="Château Montrose"/>
    <s v="　"/>
    <s v="Red"/>
    <n v="2016"/>
    <n v="1"/>
    <n v="1684"/>
    <s v="Vinehoo"/>
    <n v="1735"/>
    <s v="　"/>
    <n v="1735"/>
  </r>
  <r>
    <n v="46"/>
    <x v="0"/>
    <x v="1"/>
    <s v="Saint Joseph"/>
    <s v="Domaine Jean-Louis Chave"/>
    <s v="Saint Joseph ‘Clos Florentin’"/>
    <s v="Red"/>
    <n v="2022"/>
    <n v="1"/>
    <n v="1550"/>
    <s v="J"/>
    <n v="1590"/>
    <s v="　"/>
    <n v="1590"/>
  </r>
  <r>
    <n v="47"/>
    <x v="0"/>
    <x v="3"/>
    <s v="Saint-Julien"/>
    <s v="Château Leoville-Las Cases"/>
    <s v="Grand Vin de Leoville"/>
    <s v="Red"/>
    <n v="1975"/>
    <n v="1"/>
    <m/>
    <s v="Idealwine"/>
    <n v="1502"/>
    <s v="　"/>
    <n v="1502"/>
  </r>
  <r>
    <n v="48"/>
    <x v="0"/>
    <x v="1"/>
    <s v="Hermitage"/>
    <s v="Delas Freres"/>
    <s v="Hermitage Les Bessards"/>
    <s v="Red"/>
    <n v="2014"/>
    <n v="1"/>
    <m/>
    <s v="SJ"/>
    <n v="1371"/>
    <m/>
    <n v="1371"/>
  </r>
  <r>
    <n v="49"/>
    <x v="0"/>
    <x v="3"/>
    <s v="Pauillac"/>
    <s v="Château Pichon-Longueville au Baron de Pichon-Longueville"/>
    <s v="　"/>
    <s v="Red"/>
    <n v="2015"/>
    <n v="1"/>
    <n v="880"/>
    <s v="WineWorld"/>
    <n v="1334"/>
    <s v="　"/>
    <n v="1334"/>
  </r>
  <r>
    <n v="50"/>
    <x v="0"/>
    <x v="3"/>
    <s v="Saint-Estephe"/>
    <s v="Château Calon-Segur"/>
    <s v="Château Calon-Segur"/>
    <s v="Red"/>
    <n v="2005"/>
    <n v="1"/>
    <m/>
    <s v="Starly"/>
    <n v="1334"/>
    <s v="　"/>
    <n v="1334"/>
  </r>
  <r>
    <n v="51"/>
    <x v="0"/>
    <x v="1"/>
    <s v="Côte Rôtie"/>
    <s v="Domaine Rene Rostaing"/>
    <s v="Côte Rôtie La Landonne"/>
    <s v="Red"/>
    <n v="2020"/>
    <n v="1"/>
    <m/>
    <s v="Wines"/>
    <n v="1325"/>
    <s v="　"/>
    <n v="1325"/>
  </r>
  <r>
    <n v="52"/>
    <x v="0"/>
    <x v="1"/>
    <s v="Cornas"/>
    <s v="Domaine Auguste Clape"/>
    <s v="Cornas"/>
    <s v="Red"/>
    <n v="2012"/>
    <n v="1"/>
    <m/>
    <s v="Idealwine"/>
    <n v="1306"/>
    <s v="　"/>
    <n v="1306"/>
  </r>
  <r>
    <n v="53"/>
    <x v="2"/>
    <x v="7"/>
    <s v="Puente Alto"/>
    <s v="Vina Almaviva"/>
    <s v="Vina Almaviva"/>
    <s v="Red"/>
    <n v="2020"/>
    <n v="1"/>
    <n v="1299"/>
    <s v="Vinehoo"/>
    <n v="1298"/>
    <s v="　"/>
    <n v="1298"/>
  </r>
  <r>
    <n v="54"/>
    <x v="1"/>
    <x v="5"/>
    <s v="Brunello di Montalcino"/>
    <s v="Fuglini"/>
    <s v="Brunello di Montalcino Riserva DOCG"/>
    <s v="Red"/>
    <n v="2016"/>
    <n v="1"/>
    <n v="844"/>
    <s v="KTT"/>
    <n v="1279"/>
    <s v="　"/>
    <n v="1279"/>
  </r>
  <r>
    <n v="55"/>
    <x v="0"/>
    <x v="3"/>
    <s v="Saint-Estephe"/>
    <s v="Château Calon-Segur"/>
    <s v="Château Calon-Segur"/>
    <s v="Red"/>
    <n v="2016"/>
    <n v="1"/>
    <n v="1399"/>
    <s v="Vinehoo"/>
    <n v="1269"/>
    <s v="　"/>
    <n v="1269"/>
  </r>
  <r>
    <n v="56"/>
    <x v="1"/>
    <x v="8"/>
    <s v="Barbaresco"/>
    <s v="Falletto di Bruno Giacosa"/>
    <s v="Asili"/>
    <s v="Red"/>
    <n v="2017"/>
    <n v="1"/>
    <n v="1180"/>
    <s v="PrivateSeller"/>
    <n v="1242"/>
    <s v="　"/>
    <n v="1242"/>
  </r>
  <r>
    <n v="57"/>
    <x v="3"/>
    <x v="9"/>
    <s v="Napa Valley"/>
    <s v="Beringer Vineyards"/>
    <s v="Private Reserve Cabernet Sauvignon"/>
    <s v="Red"/>
    <n v="2015"/>
    <n v="1"/>
    <n v="750"/>
    <s v="KTT"/>
    <n v="1241"/>
    <s v="　"/>
    <n v="1241"/>
  </r>
  <r>
    <n v="58"/>
    <x v="4"/>
    <x v="10"/>
    <s v="Campo de Borja"/>
    <s v="Bodegas Alto Moncayo"/>
    <s v="Aquilon Garnacha"/>
    <s v="Red"/>
    <n v="2016"/>
    <n v="1"/>
    <m/>
    <m/>
    <n v="1194"/>
    <s v="　"/>
    <n v="1194"/>
  </r>
  <r>
    <n v="59"/>
    <x v="0"/>
    <x v="2"/>
    <s v="Loire"/>
    <s v="Nicolas Barbou"/>
    <s v="Utopie Creative"/>
    <s v="White"/>
    <n v="2021"/>
    <n v="1"/>
    <n v="1090"/>
    <s v="LY"/>
    <n v="1175"/>
    <s v="　"/>
    <n v="1175"/>
  </r>
  <r>
    <n v="60"/>
    <x v="1"/>
    <x v="11"/>
    <s v="Abruzzo"/>
    <s v="Azienda Agricola Valentini"/>
    <s v="Trebbiano d'Abruzzo"/>
    <s v="White"/>
    <n v="2017"/>
    <n v="1"/>
    <m/>
    <m/>
    <n v="1148"/>
    <s v="　"/>
    <n v="1148"/>
  </r>
  <r>
    <n v="61"/>
    <x v="0"/>
    <x v="1"/>
    <s v="Saint Joseph"/>
    <s v="Pierre Gonon"/>
    <s v="Saint Joseph"/>
    <s v="Red"/>
    <n v="2018"/>
    <n v="1"/>
    <m/>
    <s v="Butupier"/>
    <n v="1110"/>
    <s v="　"/>
    <n v="1110"/>
  </r>
  <r>
    <n v="62"/>
    <x v="0"/>
    <x v="1"/>
    <s v="Côte Rôtie"/>
    <s v="Delas Freres"/>
    <s v="Cote Rotie Seigneur de Maugiron"/>
    <s v="Red"/>
    <n v="1990"/>
    <n v="1"/>
    <n v="998"/>
    <s v="VitisWISE"/>
    <n v="1082"/>
    <s v="　"/>
    <n v="1082"/>
  </r>
  <r>
    <n v="63"/>
    <x v="0"/>
    <x v="1"/>
    <s v="Condrieu"/>
    <s v="Domaine Georges Vernay"/>
    <s v="Condrieu Coteau de Vernon"/>
    <s v="White"/>
    <n v="2020"/>
    <n v="1"/>
    <n v="1099"/>
    <s v="Wines"/>
    <n v="1073"/>
    <s v="　"/>
    <n v="1073"/>
  </r>
  <r>
    <n v="64"/>
    <x v="0"/>
    <x v="1"/>
    <s v="Côte Rôtie"/>
    <s v="Domaine Rene Rostaing"/>
    <s v="Côte Rôtie La Landonne"/>
    <s v="Red"/>
    <n v="2009"/>
    <n v="1"/>
    <n v="1280"/>
    <s v="XINGSONG"/>
    <n v="1054"/>
    <s v="　"/>
    <n v="1054"/>
  </r>
  <r>
    <n v="65"/>
    <x v="5"/>
    <x v="12"/>
    <s v="Barossa Valley"/>
    <s v="Standish"/>
    <s v="The Standish Shiraz"/>
    <s v="Red"/>
    <n v="2016"/>
    <n v="1"/>
    <n v="480"/>
    <s v="KTT"/>
    <n v="1026"/>
    <s v="　"/>
    <n v="1026"/>
  </r>
  <r>
    <n v="66"/>
    <x v="0"/>
    <x v="2"/>
    <s v="Bourgueil"/>
    <s v="Gauthier Pere et Fils Domaine du Bel Air Bourgueil"/>
    <s v="Clos Nouveau"/>
    <s v="Red"/>
    <n v="2013"/>
    <n v="1"/>
    <m/>
    <s v="Butupier"/>
    <n v="1026"/>
    <s v="　"/>
    <n v="1026"/>
  </r>
  <r>
    <n v="67"/>
    <x v="6"/>
    <x v="13"/>
    <s v="Porto"/>
    <s v="Warre's "/>
    <s v="Vintage Port"/>
    <s v="Fortified"/>
    <n v="1994"/>
    <n v="1"/>
    <n v="699"/>
    <s v="Vinehoo"/>
    <n v="1022"/>
    <s v="　"/>
    <n v="1022"/>
  </r>
  <r>
    <n v="68"/>
    <x v="7"/>
    <x v="14"/>
    <s v="Helan Mountain"/>
    <s v="Legacy Peak"/>
    <s v="Family Heritage Cabernet Sauvignon"/>
    <s v="Red"/>
    <n v="2015"/>
    <n v="1"/>
    <m/>
    <m/>
    <n v="1002"/>
    <s v="　"/>
    <n v="1002"/>
  </r>
  <r>
    <n v="69"/>
    <x v="0"/>
    <x v="1"/>
    <s v="Cornas"/>
    <s v="Frank Balthazar"/>
    <s v="Cornas Chaillots"/>
    <s v="Red"/>
    <n v="2016"/>
    <n v="1"/>
    <n v="1007"/>
    <s v="Dongli"/>
    <n v="988"/>
    <s v="　"/>
    <n v="988"/>
  </r>
  <r>
    <n v="70"/>
    <x v="5"/>
    <x v="15"/>
    <s v="Margaret River"/>
    <s v="Vass Filex"/>
    <s v="Tom Cullity Cabernet Sauvignon - Malbec"/>
    <s v="Red"/>
    <n v="2017"/>
    <n v="1"/>
    <n v="588"/>
    <s v="KTT"/>
    <n v="970"/>
    <s v="　"/>
    <n v="970"/>
  </r>
  <r>
    <n v="71"/>
    <x v="0"/>
    <x v="3"/>
    <s v="Pauillac"/>
    <s v="Château Lynch Bages"/>
    <s v="Château Lynch Bages"/>
    <s v="Red"/>
    <n v="2017"/>
    <n v="2"/>
    <m/>
    <s v="PrivateSeller"/>
    <n v="959"/>
    <s v="　"/>
    <n v="1918"/>
  </r>
  <r>
    <n v="72"/>
    <x v="1"/>
    <x v="16"/>
    <s v="Campania"/>
    <s v="Mastroberardino"/>
    <s v="Radici Riserva"/>
    <s v="Red"/>
    <n v="1998"/>
    <n v="1"/>
    <n v="550"/>
    <s v="Interprocom"/>
    <n v="931"/>
    <s v="　"/>
    <n v="931"/>
  </r>
  <r>
    <n v="73"/>
    <x v="0"/>
    <x v="3"/>
    <s v="Pauillac"/>
    <s v="Château Pontet-Canet"/>
    <s v="　"/>
    <s v="Red"/>
    <n v="2017"/>
    <n v="1"/>
    <m/>
    <s v="Tmall"/>
    <n v="922"/>
    <s v="　"/>
    <n v="922"/>
  </r>
  <r>
    <n v="74"/>
    <x v="0"/>
    <x v="17"/>
    <s v="Meursault"/>
    <s v="Pierre Girardin"/>
    <s v="Meursault Les Grands Charrons"/>
    <s v="White"/>
    <n v="2020"/>
    <n v="1"/>
    <m/>
    <m/>
    <n v="905"/>
    <s v="　"/>
    <n v="905"/>
  </r>
  <r>
    <n v="75"/>
    <x v="0"/>
    <x v="17"/>
    <s v="Pommard"/>
    <s v="Pierre Girardin"/>
    <s v="Les Grands Epenots Premier Cru"/>
    <s v="Red"/>
    <n v="2018"/>
    <n v="1"/>
    <m/>
    <m/>
    <n v="905"/>
    <s v="　"/>
    <n v="905"/>
  </r>
  <r>
    <n v="76"/>
    <x v="1"/>
    <x v="5"/>
    <s v="Brunello di Montalcino"/>
    <s v="Siro Pacenti"/>
    <s v="PS Brunello di Montalcino DOCG"/>
    <s v="Red"/>
    <n v="1999"/>
    <n v="1"/>
    <n v="899"/>
    <s v="PrivateSeller"/>
    <n v="903"/>
    <s v="　"/>
    <n v="903"/>
  </r>
  <r>
    <n v="77"/>
    <x v="0"/>
    <x v="17"/>
    <s v="Volnay"/>
    <s v="Domaine Clos de la Chapelle"/>
    <s v="'Clos de la Chapelle' Premier Cru"/>
    <s v="Red"/>
    <n v="2018"/>
    <n v="1"/>
    <m/>
    <s v="Vinehoo"/>
    <n v="868"/>
    <s v="　"/>
    <n v="868"/>
  </r>
  <r>
    <n v="78"/>
    <x v="0"/>
    <x v="1"/>
    <s v="Cornas"/>
    <s v="Domaine Alain Voge"/>
    <s v="Cornas Les Vieilles Fontaines"/>
    <s v="Red"/>
    <n v="2020"/>
    <n v="1"/>
    <m/>
    <m/>
    <n v="868"/>
    <s v="　"/>
    <n v="868"/>
  </r>
  <r>
    <n v="79"/>
    <x v="1"/>
    <x v="5"/>
    <s v="Brunello di Montalcino"/>
    <s v="Poggio Antico"/>
    <s v="Brunello di Montalcino Riserva DOCG"/>
    <s v="Red"/>
    <n v="2016"/>
    <n v="1"/>
    <n v="630"/>
    <s v="WineWorld"/>
    <n v="847"/>
    <s v="　"/>
    <n v="847"/>
  </r>
  <r>
    <n v="80"/>
    <x v="1"/>
    <x v="11"/>
    <s v="Abruzzo"/>
    <s v="Azienda Agricola Valentini"/>
    <s v="Cerasuolo Montepulciano d'Abruzzo Rose"/>
    <s v="Rose"/>
    <n v="2022"/>
    <n v="1"/>
    <m/>
    <m/>
    <n v="809"/>
    <s v="　"/>
    <n v="809"/>
  </r>
  <r>
    <n v="81"/>
    <x v="0"/>
    <x v="3"/>
    <s v="Pessac-Leognan"/>
    <s v="Château Pape Clement"/>
    <s v="Blanc"/>
    <s v="White"/>
    <n v="1994"/>
    <n v="1"/>
    <n v="650"/>
    <s v="J"/>
    <n v="790"/>
    <s v="　"/>
    <n v="790"/>
  </r>
  <r>
    <n v="82"/>
    <x v="0"/>
    <x v="3"/>
    <s v="Pessac-Leognan"/>
    <s v="Château Smith Haut Lafitte"/>
    <s v="　"/>
    <s v="Red"/>
    <n v="2014"/>
    <n v="1"/>
    <m/>
    <s v="Starly"/>
    <n v="790"/>
    <s v="　"/>
    <n v="790"/>
  </r>
  <r>
    <n v="83"/>
    <x v="1"/>
    <x v="8"/>
    <s v="Barbaresco"/>
    <s v="Paitin di Pasquero-Elia"/>
    <s v="Sori Paitin Vecchie Vigne"/>
    <s v="Red"/>
    <n v="2016"/>
    <n v="1"/>
    <n v="550"/>
    <s v="WineWorld"/>
    <n v="790"/>
    <s v="　"/>
    <n v="790"/>
  </r>
  <r>
    <n v="84"/>
    <x v="0"/>
    <x v="2"/>
    <s v="Sancerre"/>
    <s v="Francois Cotat"/>
    <s v="Les Monts Damnes"/>
    <s v="White"/>
    <n v="2019"/>
    <n v="1"/>
    <n v="666"/>
    <s v="PrivateSeller"/>
    <n v="743"/>
    <s v="　"/>
    <n v="743"/>
  </r>
  <r>
    <n v="85"/>
    <x v="8"/>
    <x v="18"/>
    <s v="Central Otago"/>
    <s v="Prophet's Rock"/>
    <s v="'Cuvee Aux Antipodes' Pinot Noir"/>
    <s v="Red"/>
    <n v="2022"/>
    <n v="1"/>
    <n v="500"/>
    <s v="NZ"/>
    <n v="740"/>
    <m/>
    <n v="740"/>
  </r>
  <r>
    <n v="86"/>
    <x v="0"/>
    <x v="17"/>
    <s v="Morey-Saint-Denis"/>
    <s v="Domaine Pierre Amiot et Fils"/>
    <s v="Aux Charmes Premier Cru"/>
    <s v="Red"/>
    <n v="2017"/>
    <n v="1"/>
    <m/>
    <m/>
    <n v="737"/>
    <s v="　"/>
    <n v="737"/>
  </r>
  <r>
    <n v="87"/>
    <x v="8"/>
    <x v="18"/>
    <s v="Bannockburn"/>
    <s v="Felton Road"/>
    <s v="Block 5 Pinot Noir"/>
    <s v="Red"/>
    <n v="2022"/>
    <n v="1"/>
    <n v="780"/>
    <s v="XINGSONG"/>
    <n v="728"/>
    <s v="　"/>
    <n v="728"/>
  </r>
  <r>
    <n v="88"/>
    <x v="0"/>
    <x v="1"/>
    <s v="Cornas"/>
    <s v="Philippe Pacalet"/>
    <s v="Cornas"/>
    <s v="Red"/>
    <n v="2019"/>
    <n v="1"/>
    <n v="765"/>
    <s v="Yixiang"/>
    <n v="718"/>
    <s v="　"/>
    <n v="718"/>
  </r>
  <r>
    <n v="89"/>
    <x v="1"/>
    <x v="5"/>
    <s v="Brunello di Montalcino"/>
    <s v="Il Poggione Vigna Paganelli"/>
    <s v="Brunello di Montalcino Riserva DOCG"/>
    <s v="Red"/>
    <n v="2015"/>
    <n v="1"/>
    <n v="457"/>
    <s v="KTT"/>
    <n v="706"/>
    <s v="　"/>
    <n v="706"/>
  </r>
  <r>
    <n v="90"/>
    <x v="5"/>
    <x v="19"/>
    <s v="Canberra"/>
    <s v="Clonakilla"/>
    <s v="Shiraz - Viognier"/>
    <s v="Red"/>
    <n v="2018"/>
    <n v="1"/>
    <n v="620"/>
    <s v="PrivateSeller"/>
    <n v="700"/>
    <s v="　"/>
    <n v="700"/>
  </r>
  <r>
    <n v="91"/>
    <x v="8"/>
    <x v="20"/>
    <s v="Hawke's Bay"/>
    <s v="Bilancia"/>
    <s v="La Collina Syrah"/>
    <s v="Red"/>
    <n v="2020"/>
    <n v="1"/>
    <m/>
    <m/>
    <n v="672"/>
    <s v="　"/>
    <n v="672"/>
  </r>
  <r>
    <n v="92"/>
    <x v="1"/>
    <x v="5"/>
    <s v="Brunello di Montalcino"/>
    <s v="Siro Pacenti"/>
    <s v="PS Vecchie Vigne"/>
    <s v="Red"/>
    <n v="2018"/>
    <n v="1"/>
    <n v="439"/>
    <s v="WineWorld"/>
    <n v="658"/>
    <s v="　"/>
    <n v="658"/>
  </r>
  <r>
    <n v="93"/>
    <x v="9"/>
    <x v="21"/>
    <s v="Tokaj"/>
    <s v="Royal Tokaji"/>
    <s v="Aszu 5 Puttonyos"/>
    <s v="Sweet"/>
    <n v="2007"/>
    <n v="1"/>
    <m/>
    <m/>
    <n v="653"/>
    <s v="　"/>
    <n v="653"/>
  </r>
  <r>
    <n v="94"/>
    <x v="8"/>
    <x v="22"/>
    <s v="Martinborough"/>
    <s v="Escarpment"/>
    <s v="Kupe Pinot Noir"/>
    <s v="Red"/>
    <n v="2019"/>
    <n v="1"/>
    <n v="478"/>
    <s v="Dongli"/>
    <n v="653"/>
    <s v="　"/>
    <n v="653"/>
  </r>
  <r>
    <n v="95"/>
    <x v="1"/>
    <x v="5"/>
    <s v="Brunello di Montalcino"/>
    <s v="Padelletti"/>
    <s v="Brunello di Montalcino Riserva DOCG"/>
    <s v="Red"/>
    <n v="2012"/>
    <n v="1"/>
    <n v="550"/>
    <s v="WineWorld"/>
    <n v="649"/>
    <s v="　"/>
    <n v="649"/>
  </r>
  <r>
    <n v="96"/>
    <x v="0"/>
    <x v="3"/>
    <s v="Margaux"/>
    <s v="Château Lascombes"/>
    <s v="　"/>
    <s v="Red"/>
    <n v="2016"/>
    <n v="1"/>
    <m/>
    <s v="Starly"/>
    <n v="630"/>
    <s v="　"/>
    <n v="630"/>
  </r>
  <r>
    <n v="97"/>
    <x v="1"/>
    <x v="5"/>
    <s v="Brunello di Montalcino"/>
    <s v="Podere Salicutti"/>
    <s v="Sorgente"/>
    <s v="Red"/>
    <n v="2016"/>
    <n v="1"/>
    <m/>
    <s v="Zamej"/>
    <n v="630"/>
    <s v="　"/>
    <n v="630"/>
  </r>
  <r>
    <n v="98"/>
    <x v="0"/>
    <x v="0"/>
    <s v="Châteauneuf-du-Pape"/>
    <s v="Château de Beaucastel"/>
    <s v="Châteauneuf-du-Pape"/>
    <s v="Red"/>
    <n v="2017"/>
    <n v="1"/>
    <m/>
    <s v="KTT"/>
    <n v="606"/>
    <s v="　"/>
    <n v="606"/>
  </r>
  <r>
    <n v="99"/>
    <x v="8"/>
    <x v="22"/>
    <s v="Martinborough"/>
    <s v="Dry River "/>
    <s v="Pinot Noir"/>
    <s v="Red"/>
    <n v="2019"/>
    <n v="1"/>
    <n v="400"/>
    <s v="NZ"/>
    <n v="590"/>
    <m/>
    <n v="590"/>
  </r>
  <r>
    <n v="100"/>
    <x v="0"/>
    <x v="0"/>
    <s v="Châteauneuf-du-Pape"/>
    <s v="Domaine du Vieux Telegraphe"/>
    <s v="Châteauneuf-du-Pape La Crau"/>
    <s v="Red"/>
    <n v="2018"/>
    <n v="1"/>
    <n v="549"/>
    <s v="Dongli"/>
    <n v="588"/>
    <s v="　"/>
    <n v="588"/>
  </r>
  <r>
    <n v="101"/>
    <x v="8"/>
    <x v="23"/>
    <s v="Waipara"/>
    <s v="Pegasus Bay "/>
    <s v="Prima Donna Pinot Noir"/>
    <s v="Red"/>
    <n v="2015"/>
    <n v="1"/>
    <n v="500"/>
    <s v="NZ"/>
    <n v="580"/>
    <m/>
    <n v="580"/>
  </r>
  <r>
    <n v="102"/>
    <x v="0"/>
    <x v="0"/>
    <s v="Châteauneuf-du-Pape"/>
    <s v="Clos de l'Oratoire des Papes"/>
    <s v="Châteauneuf-du-Pape"/>
    <s v="Red"/>
    <n v="2016"/>
    <n v="1"/>
    <m/>
    <s v="FR"/>
    <n v="578"/>
    <s v="　"/>
    <n v="578"/>
  </r>
  <r>
    <n v="103"/>
    <x v="10"/>
    <x v="24"/>
    <s v="Ahr"/>
    <s v="Jean Stodden"/>
    <s v="Neuenahrer Sonnenberg Spatburgunder Grosses Gewachs"/>
    <s v="Red"/>
    <n v="2018"/>
    <n v="1"/>
    <m/>
    <m/>
    <n v="578"/>
    <s v="　"/>
    <n v="578"/>
  </r>
  <r>
    <n v="104"/>
    <x v="10"/>
    <x v="24"/>
    <s v="Ahr"/>
    <s v="Jean Stodden"/>
    <s v="Dernauer Hardtberg Spatburgunder Grosses Gewachs"/>
    <s v="Red"/>
    <n v="2018"/>
    <n v="1"/>
    <m/>
    <m/>
    <n v="560"/>
    <s v="　"/>
    <n v="560"/>
  </r>
  <r>
    <n v="105"/>
    <x v="8"/>
    <x v="18"/>
    <s v="Bannockburn"/>
    <s v="Felton Road"/>
    <s v="Calvert Pinot Noir"/>
    <s v="Red"/>
    <n v="2022"/>
    <n v="1"/>
    <n v="361"/>
    <s v="NZ"/>
    <n v="550"/>
    <s v="　"/>
    <n v="550"/>
  </r>
  <r>
    <n v="106"/>
    <x v="0"/>
    <x v="1"/>
    <s v="Hermitage"/>
    <s v="Domaine Philippe &amp; Vincent Jaboulet"/>
    <s v="Hermitage Rouge"/>
    <s v="Red"/>
    <n v="2015"/>
    <n v="1"/>
    <n v="568"/>
    <s v="Vinehoo"/>
    <n v="522"/>
    <s v="　"/>
    <n v="522"/>
  </r>
  <r>
    <n v="107"/>
    <x v="5"/>
    <x v="25"/>
    <s v="Yarra Valley"/>
    <s v="Yarra Yering"/>
    <s v="No.1"/>
    <s v="Red"/>
    <n v="2016"/>
    <n v="1"/>
    <n v="415"/>
    <s v="Wines"/>
    <n v="504"/>
    <s v="　"/>
    <n v="504"/>
  </r>
  <r>
    <n v="108"/>
    <x v="5"/>
    <x v="25"/>
    <s v="Yarra Valley"/>
    <s v="Yarra Yering"/>
    <s v="No.2"/>
    <s v="Red"/>
    <n v="2016"/>
    <n v="1"/>
    <n v="485"/>
    <s v="Wines"/>
    <n v="504"/>
    <s v="　"/>
    <n v="504"/>
  </r>
  <r>
    <n v="109"/>
    <x v="0"/>
    <x v="1"/>
    <s v="Cornas"/>
    <s v="Domaine Vincent Paris"/>
    <s v="Cornas La Geynale"/>
    <s v="Red"/>
    <n v="2021"/>
    <n v="1"/>
    <n v="610"/>
    <s v="Essentia"/>
    <n v="485"/>
    <s v="　"/>
    <n v="485"/>
  </r>
  <r>
    <n v="110"/>
    <x v="0"/>
    <x v="1"/>
    <s v="Cornas"/>
    <s v="Domaine Courbis"/>
    <s v="Cornas Les Eygats"/>
    <s v="Red"/>
    <n v="2020"/>
    <n v="1"/>
    <n v="445"/>
    <s v="KTT"/>
    <n v="438"/>
    <s v="　"/>
    <n v="438"/>
  </r>
  <r>
    <n v="111"/>
    <x v="1"/>
    <x v="4"/>
    <s v="Amarone della Valpolicella"/>
    <s v="Masi"/>
    <s v="Costasera"/>
    <s v="Red"/>
    <n v="2017"/>
    <n v="1"/>
    <m/>
    <m/>
    <n v="433"/>
    <s v="　"/>
    <n v="433"/>
  </r>
  <r>
    <n v="112"/>
    <x v="1"/>
    <x v="16"/>
    <s v="Campania"/>
    <s v="Fattoria Galardi"/>
    <s v="Terra di Lavoro Campania IGT"/>
    <s v="Red"/>
    <n v="2016"/>
    <n v="1"/>
    <n v="310"/>
    <s v="PrivateSeller"/>
    <n v="395"/>
    <s v="　"/>
    <n v="395"/>
  </r>
  <r>
    <n v="113"/>
    <x v="0"/>
    <x v="1"/>
    <s v="Saint Joseph"/>
    <s v="La Vigne des Pères"/>
    <s v="Saint Joseph ‘Petit Père’"/>
    <s v="Red"/>
    <n v="2019"/>
    <n v="1"/>
    <m/>
    <s v="Butupier"/>
    <n v="345"/>
    <s v="　"/>
    <n v="345"/>
  </r>
  <r>
    <n v="114"/>
    <x v="6"/>
    <x v="13"/>
    <s v="Porto"/>
    <s v="Quinta do Noval"/>
    <s v="Silval Vintage Port"/>
    <s v="Fortified"/>
    <n v="2001"/>
    <n v="1"/>
    <m/>
    <m/>
    <n v="310"/>
    <s v="　"/>
    <n v="3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593z41" cacheId="5" applyNumberFormats="0" applyBorderFormats="0" applyFontFormats="0" applyPatternFormats="0" applyAlignmentFormats="0" applyWidthHeightFormats="0" dataCaption="" grandTotalCaption="合计" updatedVersion="8" compact="0" compactData="0">
  <location ref="A1:D40" firstHeaderRow="1" firstDataRow="2" firstDataCol="2"/>
  <pivotFields count="14">
    <pivotField compact="0" showAll="0"/>
    <pivotField axis="axisRow" compact="0" showAll="0">
      <items count="12">
        <item x="0"/>
        <item x="1"/>
        <item x="2"/>
        <item x="3"/>
        <item x="5"/>
        <item x="6"/>
        <item x="7"/>
        <item x="4"/>
        <item x="8"/>
        <item x="9"/>
        <item x="10"/>
        <item t="default"/>
      </items>
    </pivotField>
    <pivotField axis="axisRow" compact="0" showAll="0">
      <items count="27">
        <item x="17"/>
        <item x="15"/>
        <item x="18"/>
        <item x="19"/>
        <item x="20"/>
        <item x="1"/>
        <item x="6"/>
        <item x="7"/>
        <item x="2"/>
        <item x="8"/>
        <item x="5"/>
        <item x="9"/>
        <item x="3"/>
        <item x="13"/>
        <item x="0"/>
        <item x="10"/>
        <item x="14"/>
        <item x="12"/>
        <item x="16"/>
        <item x="4"/>
        <item x="11"/>
        <item x="21"/>
        <item x="22"/>
        <item x="23"/>
        <item x="24"/>
        <item x="2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showAll="0"/>
    <pivotField showAll="0"/>
    <pivotField compact="0" showAll="0"/>
    <pivotField compact="0" showAll="0"/>
    <pivotField dataField="1" compact="0" showAll="0"/>
  </pivotFields>
  <rowFields count="2">
    <field x="1"/>
    <field x="2"/>
  </rowFields>
  <rowItems count="38">
    <i>
      <x/>
    </i>
    <i r="1">
      <x/>
    </i>
    <i r="1">
      <x v="5"/>
    </i>
    <i r="1">
      <x v="8"/>
    </i>
    <i r="1">
      <x v="12"/>
    </i>
    <i r="1">
      <x v="14"/>
    </i>
    <i>
      <x v="1"/>
    </i>
    <i r="1">
      <x v="6"/>
    </i>
    <i r="1">
      <x v="9"/>
    </i>
    <i r="1">
      <x v="10"/>
    </i>
    <i r="1">
      <x v="18"/>
    </i>
    <i r="1">
      <x v="19"/>
    </i>
    <i r="1">
      <x v="20"/>
    </i>
    <i>
      <x v="2"/>
    </i>
    <i r="1">
      <x v="7"/>
    </i>
    <i>
      <x v="3"/>
    </i>
    <i r="1">
      <x v="11"/>
    </i>
    <i>
      <x v="4"/>
    </i>
    <i r="1">
      <x v="1"/>
    </i>
    <i r="1">
      <x v="3"/>
    </i>
    <i r="1">
      <x v="17"/>
    </i>
    <i r="1">
      <x v="25"/>
    </i>
    <i>
      <x v="5"/>
    </i>
    <i r="1">
      <x v="13"/>
    </i>
    <i>
      <x v="6"/>
    </i>
    <i r="1">
      <x v="16"/>
    </i>
    <i>
      <x v="7"/>
    </i>
    <i r="1">
      <x v="15"/>
    </i>
    <i>
      <x v="8"/>
    </i>
    <i r="1">
      <x v="2"/>
    </i>
    <i r="1">
      <x v="4"/>
    </i>
    <i r="1">
      <x v="22"/>
    </i>
    <i r="1">
      <x v="23"/>
    </i>
    <i>
      <x v="9"/>
    </i>
    <i r="1">
      <x v="21"/>
    </i>
    <i>
      <x v="10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：Total" fld="13" baseField="0" baseItem="0"/>
    <dataField name="求和项：Quantity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tock"/>
  <dimension ref="A1:AC160"/>
  <sheetViews>
    <sheetView tabSelected="1" workbookViewId="0">
      <pane ySplit="1" topLeftCell="A58" activePane="bottomLeft" state="frozen"/>
      <selection pane="bottomLeft" activeCell="L2" sqref="L2:L115"/>
    </sheetView>
  </sheetViews>
  <sheetFormatPr defaultColWidth="14.21875" defaultRowHeight="18" customHeight="1"/>
  <cols>
    <col min="1" max="1" width="5.88671875" style="32" customWidth="1"/>
    <col min="2" max="2" width="12.88671875" style="10" customWidth="1"/>
    <col min="3" max="3" width="24.33203125" style="32" customWidth="1"/>
    <col min="4" max="4" width="29" style="32" customWidth="1"/>
    <col min="5" max="5" width="55.6640625" style="32" customWidth="1"/>
    <col min="6" max="6" width="44.33203125" style="32" customWidth="1"/>
    <col min="7" max="7" width="9.44140625" style="32" customWidth="1"/>
    <col min="8" max="8" width="9.33203125" style="32" customWidth="1"/>
    <col min="9" max="9" width="9.33203125" style="126" customWidth="1"/>
    <col min="10" max="10" width="10.5546875" style="72" customWidth="1"/>
    <col min="11" max="11" width="12.44140625" style="72" customWidth="1"/>
    <col min="12" max="12" width="10.5546875" style="127" customWidth="1"/>
    <col min="13" max="14" width="9.33203125" style="32" customWidth="1"/>
    <col min="15" max="15" width="13.6640625" style="10"/>
  </cols>
  <sheetData>
    <row r="1" spans="1:15" ht="13.8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9</v>
      </c>
      <c r="J1" s="1" t="s">
        <v>10</v>
      </c>
      <c r="K1" s="1" t="s">
        <v>11</v>
      </c>
      <c r="L1" s="2" t="s">
        <v>12</v>
      </c>
      <c r="M1" s="1" t="s">
        <v>13</v>
      </c>
      <c r="N1" s="1" t="s">
        <v>14</v>
      </c>
      <c r="O1" s="2" t="s">
        <v>15</v>
      </c>
    </row>
    <row r="2" spans="1:15" ht="13.8">
      <c r="A2" s="4">
        <f t="shared" ref="A2:A33" si="0">ROW()-1</f>
        <v>1</v>
      </c>
      <c r="B2" s="5" t="s">
        <v>44</v>
      </c>
      <c r="C2" s="6" t="s">
        <v>159</v>
      </c>
      <c r="D2" s="6" t="s">
        <v>160</v>
      </c>
      <c r="E2" s="6" t="s">
        <v>166</v>
      </c>
      <c r="F2" s="6" t="s">
        <v>167</v>
      </c>
      <c r="G2" s="6" t="s">
        <v>20</v>
      </c>
      <c r="H2" s="4">
        <v>2005</v>
      </c>
      <c r="I2" s="7">
        <v>1</v>
      </c>
      <c r="J2" s="8"/>
      <c r="K2" s="6" t="s">
        <v>56</v>
      </c>
      <c r="L2" s="9"/>
      <c r="M2" s="6" t="s">
        <v>57</v>
      </c>
      <c r="N2" s="6">
        <f t="shared" ref="N2:N33" si="1">L2*I2</f>
        <v>0</v>
      </c>
    </row>
    <row r="3" spans="1:15" ht="13.8">
      <c r="A3" s="4">
        <f t="shared" si="0"/>
        <v>2</v>
      </c>
      <c r="B3" s="11" t="s">
        <v>44</v>
      </c>
      <c r="C3" s="6" t="s">
        <v>159</v>
      </c>
      <c r="D3" s="6" t="s">
        <v>160</v>
      </c>
      <c r="E3" s="6" t="s">
        <v>166</v>
      </c>
      <c r="F3" s="6" t="s">
        <v>167</v>
      </c>
      <c r="G3" s="6" t="s">
        <v>20</v>
      </c>
      <c r="H3" s="4">
        <v>2010</v>
      </c>
      <c r="I3" s="7">
        <v>1</v>
      </c>
      <c r="J3" s="8"/>
      <c r="K3" s="6" t="s">
        <v>56</v>
      </c>
      <c r="L3" s="9"/>
      <c r="M3" s="6"/>
      <c r="N3" s="6">
        <f t="shared" si="1"/>
        <v>0</v>
      </c>
      <c r="O3" s="10" t="s">
        <v>23</v>
      </c>
    </row>
    <row r="4" spans="1:15" ht="13.8">
      <c r="A4" s="4">
        <f t="shared" si="0"/>
        <v>3</v>
      </c>
      <c r="B4" s="11" t="s">
        <v>44</v>
      </c>
      <c r="C4" s="6" t="s">
        <v>104</v>
      </c>
      <c r="D4" s="6" t="s">
        <v>140</v>
      </c>
      <c r="E4" s="6" t="s">
        <v>143</v>
      </c>
      <c r="F4" s="6" t="s">
        <v>140</v>
      </c>
      <c r="G4" s="6" t="s">
        <v>20</v>
      </c>
      <c r="H4" s="4">
        <v>1999</v>
      </c>
      <c r="I4" s="7">
        <v>1</v>
      </c>
      <c r="J4" s="8"/>
      <c r="K4" s="6" t="s">
        <v>56</v>
      </c>
      <c r="L4" s="9"/>
      <c r="M4" s="6" t="s">
        <v>57</v>
      </c>
      <c r="N4" s="6">
        <f t="shared" si="1"/>
        <v>0</v>
      </c>
    </row>
    <row r="5" spans="1:15" s="28" customFormat="1" ht="13.8">
      <c r="A5" s="4">
        <f t="shared" si="0"/>
        <v>4</v>
      </c>
      <c r="B5" s="11" t="s">
        <v>44</v>
      </c>
      <c r="C5" s="6" t="s">
        <v>104</v>
      </c>
      <c r="D5" s="6" t="s">
        <v>140</v>
      </c>
      <c r="E5" s="6" t="s">
        <v>143</v>
      </c>
      <c r="F5" s="6" t="s">
        <v>140</v>
      </c>
      <c r="G5" s="6" t="s">
        <v>20</v>
      </c>
      <c r="H5" s="4">
        <v>1999</v>
      </c>
      <c r="I5" s="7">
        <v>1</v>
      </c>
      <c r="J5" s="8"/>
      <c r="K5" s="6" t="s">
        <v>56</v>
      </c>
      <c r="L5" s="9"/>
      <c r="M5" s="6"/>
      <c r="N5" s="6">
        <f t="shared" si="1"/>
        <v>0</v>
      </c>
      <c r="O5" s="10" t="s">
        <v>23</v>
      </c>
    </row>
    <row r="6" spans="1:15" ht="18" customHeight="1">
      <c r="A6" s="4">
        <f t="shared" si="0"/>
        <v>5</v>
      </c>
      <c r="B6" s="11" t="s">
        <v>44</v>
      </c>
      <c r="C6" s="6" t="s">
        <v>104</v>
      </c>
      <c r="D6" s="6" t="s">
        <v>140</v>
      </c>
      <c r="E6" s="6" t="s">
        <v>152</v>
      </c>
      <c r="F6" s="6" t="s">
        <v>153</v>
      </c>
      <c r="G6" s="6" t="s">
        <v>20</v>
      </c>
      <c r="H6" s="4">
        <v>1990</v>
      </c>
      <c r="I6" s="7">
        <v>1</v>
      </c>
      <c r="J6" s="8"/>
      <c r="K6" s="6" t="s">
        <v>56</v>
      </c>
      <c r="L6" s="9"/>
      <c r="M6" s="6"/>
      <c r="N6" s="6">
        <f t="shared" si="1"/>
        <v>0</v>
      </c>
      <c r="O6" s="10" t="s">
        <v>23</v>
      </c>
    </row>
    <row r="7" spans="1:15" ht="13.8">
      <c r="A7" s="4">
        <f t="shared" si="0"/>
        <v>6</v>
      </c>
      <c r="B7" s="11" t="s">
        <v>44</v>
      </c>
      <c r="C7" s="6" t="s">
        <v>104</v>
      </c>
      <c r="D7" s="6" t="s">
        <v>140</v>
      </c>
      <c r="E7" s="6" t="s">
        <v>143</v>
      </c>
      <c r="F7" s="6" t="s">
        <v>140</v>
      </c>
      <c r="G7" s="6" t="s">
        <v>20</v>
      </c>
      <c r="H7" s="4">
        <v>2009</v>
      </c>
      <c r="I7" s="7">
        <v>1</v>
      </c>
      <c r="J7" s="8"/>
      <c r="K7" s="6" t="s">
        <v>56</v>
      </c>
      <c r="L7" s="9"/>
      <c r="M7" s="6"/>
      <c r="N7" s="6">
        <f t="shared" si="1"/>
        <v>0</v>
      </c>
      <c r="O7" s="10" t="s">
        <v>23</v>
      </c>
    </row>
    <row r="8" spans="1:15" ht="13.8">
      <c r="A8" s="4">
        <f t="shared" si="0"/>
        <v>7</v>
      </c>
      <c r="B8" s="11" t="s">
        <v>44</v>
      </c>
      <c r="C8" s="6" t="s">
        <v>104</v>
      </c>
      <c r="D8" s="6" t="s">
        <v>123</v>
      </c>
      <c r="E8" s="6" t="s">
        <v>134</v>
      </c>
      <c r="F8" s="6" t="s">
        <v>135</v>
      </c>
      <c r="G8" s="6" t="s">
        <v>20</v>
      </c>
      <c r="H8" s="4">
        <v>2003</v>
      </c>
      <c r="I8" s="7">
        <v>2</v>
      </c>
      <c r="J8" s="8"/>
      <c r="K8" s="6" t="s">
        <v>56</v>
      </c>
      <c r="L8" s="9"/>
      <c r="M8" s="6"/>
      <c r="N8" s="6">
        <f t="shared" si="1"/>
        <v>0</v>
      </c>
      <c r="O8" s="10" t="s">
        <v>23</v>
      </c>
    </row>
    <row r="9" spans="1:15" s="28" customFormat="1" ht="13.8">
      <c r="A9" s="4">
        <f t="shared" si="0"/>
        <v>8</v>
      </c>
      <c r="B9" s="11" t="s">
        <v>44</v>
      </c>
      <c r="C9" s="6" t="s">
        <v>104</v>
      </c>
      <c r="D9" s="6" t="s">
        <v>123</v>
      </c>
      <c r="E9" s="6" t="s">
        <v>134</v>
      </c>
      <c r="F9" s="6" t="s">
        <v>136</v>
      </c>
      <c r="G9" s="6" t="s">
        <v>20</v>
      </c>
      <c r="H9" s="4">
        <v>2003</v>
      </c>
      <c r="I9" s="7">
        <v>2</v>
      </c>
      <c r="J9" s="8"/>
      <c r="K9" s="6" t="s">
        <v>56</v>
      </c>
      <c r="L9" s="9"/>
      <c r="M9" s="6"/>
      <c r="N9" s="6">
        <f t="shared" si="1"/>
        <v>0</v>
      </c>
      <c r="O9" s="10" t="s">
        <v>23</v>
      </c>
    </row>
    <row r="10" spans="1:15" ht="13.8">
      <c r="A10" s="4">
        <f t="shared" si="0"/>
        <v>9</v>
      </c>
      <c r="B10" s="11" t="s">
        <v>44</v>
      </c>
      <c r="C10" s="6" t="s">
        <v>104</v>
      </c>
      <c r="D10" s="6" t="s">
        <v>123</v>
      </c>
      <c r="E10" s="6" t="s">
        <v>134</v>
      </c>
      <c r="F10" s="6" t="s">
        <v>129</v>
      </c>
      <c r="G10" s="6" t="s">
        <v>20</v>
      </c>
      <c r="H10" s="4">
        <v>2003</v>
      </c>
      <c r="I10" s="7">
        <v>1</v>
      </c>
      <c r="J10" s="8"/>
      <c r="K10" s="6" t="s">
        <v>56</v>
      </c>
      <c r="L10" s="9"/>
      <c r="M10" s="6"/>
      <c r="N10" s="6">
        <f t="shared" si="1"/>
        <v>0</v>
      </c>
      <c r="O10" s="10" t="s">
        <v>23</v>
      </c>
    </row>
    <row r="11" spans="1:15" ht="13.8">
      <c r="A11" s="4">
        <f t="shared" si="0"/>
        <v>10</v>
      </c>
      <c r="B11" s="11" t="s">
        <v>44</v>
      </c>
      <c r="C11" s="6" t="s">
        <v>104</v>
      </c>
      <c r="D11" s="6" t="s">
        <v>123</v>
      </c>
      <c r="E11" s="6" t="s">
        <v>134</v>
      </c>
      <c r="F11" s="6" t="s">
        <v>129</v>
      </c>
      <c r="G11" s="6" t="s">
        <v>20</v>
      </c>
      <c r="H11" s="4">
        <v>2005</v>
      </c>
      <c r="I11" s="7">
        <v>1</v>
      </c>
      <c r="J11" s="8"/>
      <c r="K11" s="6" t="s">
        <v>56</v>
      </c>
      <c r="L11" s="9"/>
      <c r="M11" s="6"/>
      <c r="N11" s="6">
        <f t="shared" si="1"/>
        <v>0</v>
      </c>
      <c r="O11" s="10" t="s">
        <v>23</v>
      </c>
    </row>
    <row r="12" spans="1:15" s="27" customFormat="1" ht="13.8">
      <c r="A12" s="4">
        <f t="shared" si="0"/>
        <v>11</v>
      </c>
      <c r="B12" s="11" t="s">
        <v>44</v>
      </c>
      <c r="C12" s="6" t="s">
        <v>104</v>
      </c>
      <c r="D12" s="6" t="s">
        <v>123</v>
      </c>
      <c r="E12" s="6" t="s">
        <v>126</v>
      </c>
      <c r="F12" s="6" t="s">
        <v>127</v>
      </c>
      <c r="G12" s="6" t="s">
        <v>20</v>
      </c>
      <c r="H12" s="4">
        <v>1999</v>
      </c>
      <c r="I12" s="7">
        <v>1</v>
      </c>
      <c r="J12" s="8"/>
      <c r="K12" s="6" t="s">
        <v>56</v>
      </c>
      <c r="L12" s="9"/>
      <c r="M12" s="6"/>
      <c r="N12" s="6">
        <f t="shared" si="1"/>
        <v>0</v>
      </c>
      <c r="O12" s="10" t="s">
        <v>23</v>
      </c>
    </row>
    <row r="13" spans="1:15" ht="13.8">
      <c r="A13" s="4">
        <f t="shared" si="0"/>
        <v>12</v>
      </c>
      <c r="B13" s="11" t="s">
        <v>44</v>
      </c>
      <c r="C13" s="6" t="s">
        <v>86</v>
      </c>
      <c r="D13" s="6" t="s">
        <v>100</v>
      </c>
      <c r="E13" s="6" t="s">
        <v>101</v>
      </c>
      <c r="F13" s="6" t="s">
        <v>102</v>
      </c>
      <c r="G13" s="6" t="s">
        <v>20</v>
      </c>
      <c r="H13" s="4">
        <v>1996</v>
      </c>
      <c r="I13" s="7">
        <v>1</v>
      </c>
      <c r="J13" s="8">
        <v>4250</v>
      </c>
      <c r="K13" s="8" t="s">
        <v>34</v>
      </c>
      <c r="L13" s="9"/>
      <c r="M13" s="6" t="s">
        <v>22</v>
      </c>
      <c r="N13" s="6">
        <f t="shared" si="1"/>
        <v>0</v>
      </c>
      <c r="O13" s="10" t="s">
        <v>23</v>
      </c>
    </row>
    <row r="14" spans="1:15" ht="13.8">
      <c r="A14" s="4">
        <f t="shared" si="0"/>
        <v>13</v>
      </c>
      <c r="B14" s="11" t="s">
        <v>44</v>
      </c>
      <c r="C14" s="6" t="s">
        <v>104</v>
      </c>
      <c r="D14" s="6" t="s">
        <v>140</v>
      </c>
      <c r="E14" s="6" t="s">
        <v>143</v>
      </c>
      <c r="F14" s="6" t="s">
        <v>140</v>
      </c>
      <c r="G14" s="6" t="s">
        <v>20</v>
      </c>
      <c r="H14" s="4">
        <v>2015</v>
      </c>
      <c r="I14" s="7">
        <v>1</v>
      </c>
      <c r="J14" s="8"/>
      <c r="K14" s="8" t="s">
        <v>27</v>
      </c>
      <c r="L14" s="9"/>
      <c r="M14" s="6"/>
      <c r="N14" s="6">
        <f t="shared" si="1"/>
        <v>0</v>
      </c>
      <c r="O14" s="10" t="s">
        <v>23</v>
      </c>
    </row>
    <row r="15" spans="1:15" ht="13.8">
      <c r="A15" s="4">
        <f t="shared" si="0"/>
        <v>14</v>
      </c>
      <c r="B15" s="11" t="s">
        <v>44</v>
      </c>
      <c r="C15" s="6" t="s">
        <v>104</v>
      </c>
      <c r="D15" s="6" t="s">
        <v>140</v>
      </c>
      <c r="E15" s="6" t="s">
        <v>143</v>
      </c>
      <c r="F15" s="6" t="s">
        <v>140</v>
      </c>
      <c r="G15" s="6" t="s">
        <v>20</v>
      </c>
      <c r="H15" s="4">
        <v>2022</v>
      </c>
      <c r="I15" s="7">
        <v>1</v>
      </c>
      <c r="J15" s="8">
        <v>2088</v>
      </c>
      <c r="K15" s="8" t="s">
        <v>144</v>
      </c>
      <c r="L15" s="9"/>
      <c r="M15" s="6"/>
      <c r="N15" s="6">
        <f t="shared" si="1"/>
        <v>0</v>
      </c>
      <c r="O15" s="10" t="s">
        <v>23</v>
      </c>
    </row>
    <row r="16" spans="1:15" s="27" customFormat="1" ht="13.8">
      <c r="A16" s="4">
        <f t="shared" si="0"/>
        <v>15</v>
      </c>
      <c r="B16" s="11" t="s">
        <v>44</v>
      </c>
      <c r="C16" s="6" t="s">
        <v>86</v>
      </c>
      <c r="D16" s="6" t="s">
        <v>100</v>
      </c>
      <c r="E16" s="6" t="s">
        <v>101</v>
      </c>
      <c r="F16" s="6" t="s">
        <v>103</v>
      </c>
      <c r="G16" s="6" t="s">
        <v>20</v>
      </c>
      <c r="H16" s="4">
        <v>2008</v>
      </c>
      <c r="I16" s="7">
        <v>1</v>
      </c>
      <c r="J16" s="8">
        <v>3400</v>
      </c>
      <c r="K16" s="6" t="s">
        <v>56</v>
      </c>
      <c r="L16" s="9"/>
      <c r="M16" s="6"/>
      <c r="N16" s="6">
        <f t="shared" si="1"/>
        <v>0</v>
      </c>
      <c r="O16" s="10" t="s">
        <v>23</v>
      </c>
    </row>
    <row r="17" spans="1:29" ht="13.8">
      <c r="A17" s="4">
        <f t="shared" si="0"/>
        <v>16</v>
      </c>
      <c r="B17" s="11" t="s">
        <v>44</v>
      </c>
      <c r="C17" s="6" t="s">
        <v>104</v>
      </c>
      <c r="D17" s="6" t="s">
        <v>123</v>
      </c>
      <c r="E17" s="6" t="s">
        <v>128</v>
      </c>
      <c r="F17" s="6" t="s">
        <v>131</v>
      </c>
      <c r="G17" s="6" t="s">
        <v>20</v>
      </c>
      <c r="H17" s="4">
        <v>2018</v>
      </c>
      <c r="I17" s="7">
        <v>1</v>
      </c>
      <c r="J17" s="8">
        <v>2488</v>
      </c>
      <c r="K17" s="8" t="s">
        <v>39</v>
      </c>
      <c r="L17" s="9"/>
      <c r="M17" s="6" t="s">
        <v>22</v>
      </c>
      <c r="N17" s="6">
        <f t="shared" si="1"/>
        <v>0</v>
      </c>
      <c r="O17" s="10" t="s">
        <v>23</v>
      </c>
    </row>
    <row r="18" spans="1:29" ht="13.8">
      <c r="A18" s="4">
        <f t="shared" si="0"/>
        <v>17</v>
      </c>
      <c r="B18" s="11" t="s">
        <v>44</v>
      </c>
      <c r="C18" s="6" t="s">
        <v>104</v>
      </c>
      <c r="D18" s="6" t="s">
        <v>123</v>
      </c>
      <c r="E18" s="6" t="s">
        <v>134</v>
      </c>
      <c r="F18" s="6" t="s">
        <v>135</v>
      </c>
      <c r="G18" s="6" t="s">
        <v>20</v>
      </c>
      <c r="H18" s="4">
        <v>2018</v>
      </c>
      <c r="I18" s="7">
        <v>1</v>
      </c>
      <c r="J18" s="8">
        <v>2249</v>
      </c>
      <c r="K18" s="8" t="s">
        <v>39</v>
      </c>
      <c r="L18" s="9"/>
      <c r="M18" s="6" t="s">
        <v>22</v>
      </c>
      <c r="N18" s="6">
        <f t="shared" si="1"/>
        <v>0</v>
      </c>
      <c r="O18" s="10" t="s">
        <v>23</v>
      </c>
    </row>
    <row r="19" spans="1:29" ht="13.8">
      <c r="A19" s="4">
        <f t="shared" si="0"/>
        <v>18</v>
      </c>
      <c r="B19" s="11" t="s">
        <v>44</v>
      </c>
      <c r="C19" s="6" t="s">
        <v>104</v>
      </c>
      <c r="D19" s="6" t="s">
        <v>140</v>
      </c>
      <c r="E19" s="6" t="s">
        <v>149</v>
      </c>
      <c r="F19" s="6" t="s">
        <v>150</v>
      </c>
      <c r="G19" s="6" t="s">
        <v>20</v>
      </c>
      <c r="H19" s="4">
        <v>2013</v>
      </c>
      <c r="I19" s="7">
        <v>1</v>
      </c>
      <c r="J19" s="8"/>
      <c r="K19" s="6" t="s">
        <v>56</v>
      </c>
      <c r="L19" s="9"/>
      <c r="M19" s="6"/>
      <c r="N19" s="6">
        <f t="shared" si="1"/>
        <v>0</v>
      </c>
      <c r="O19" s="10" t="s">
        <v>23</v>
      </c>
    </row>
    <row r="20" spans="1:29" s="123" customFormat="1" ht="18" customHeight="1">
      <c r="A20" s="4">
        <f t="shared" si="0"/>
        <v>19</v>
      </c>
      <c r="B20" s="11" t="s">
        <v>44</v>
      </c>
      <c r="C20" s="6" t="s">
        <v>45</v>
      </c>
      <c r="D20" s="6" t="s">
        <v>46</v>
      </c>
      <c r="E20" s="6" t="s">
        <v>49</v>
      </c>
      <c r="F20" s="6" t="s">
        <v>22</v>
      </c>
      <c r="G20" s="6" t="s">
        <v>20</v>
      </c>
      <c r="H20" s="4">
        <v>2016</v>
      </c>
      <c r="I20" s="7">
        <v>1</v>
      </c>
      <c r="J20" s="8">
        <v>2128</v>
      </c>
      <c r="K20" s="8" t="s">
        <v>50</v>
      </c>
      <c r="L20" s="9"/>
      <c r="M20" s="6" t="s">
        <v>22</v>
      </c>
      <c r="N20" s="6">
        <f t="shared" si="1"/>
        <v>0</v>
      </c>
      <c r="O20" s="10" t="s">
        <v>23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3.8">
      <c r="A21" s="4">
        <f t="shared" si="0"/>
        <v>20</v>
      </c>
      <c r="B21" s="11" t="s">
        <v>44</v>
      </c>
      <c r="C21" s="6" t="s">
        <v>104</v>
      </c>
      <c r="D21" s="6" t="s">
        <v>123</v>
      </c>
      <c r="E21" s="6" t="s">
        <v>134</v>
      </c>
      <c r="F21" s="6" t="s">
        <v>129</v>
      </c>
      <c r="G21" s="6" t="s">
        <v>20</v>
      </c>
      <c r="H21" s="4">
        <v>2018</v>
      </c>
      <c r="I21" s="7">
        <v>1</v>
      </c>
      <c r="J21" s="8">
        <v>2349</v>
      </c>
      <c r="K21" s="8" t="s">
        <v>39</v>
      </c>
      <c r="L21" s="9"/>
      <c r="M21" s="6" t="s">
        <v>22</v>
      </c>
      <c r="N21" s="6">
        <f t="shared" si="1"/>
        <v>0</v>
      </c>
      <c r="O21" s="10" t="s">
        <v>23</v>
      </c>
    </row>
    <row r="22" spans="1:29" s="27" customFormat="1" ht="13.8">
      <c r="A22" s="4">
        <f t="shared" si="0"/>
        <v>21</v>
      </c>
      <c r="B22" s="11" t="s">
        <v>44</v>
      </c>
      <c r="C22" s="6" t="s">
        <v>104</v>
      </c>
      <c r="D22" s="6" t="s">
        <v>123</v>
      </c>
      <c r="E22" s="6" t="s">
        <v>134</v>
      </c>
      <c r="F22" s="6" t="s">
        <v>136</v>
      </c>
      <c r="G22" s="6" t="s">
        <v>20</v>
      </c>
      <c r="H22" s="4">
        <v>2018</v>
      </c>
      <c r="I22" s="7">
        <v>1</v>
      </c>
      <c r="J22" s="8">
        <v>2299</v>
      </c>
      <c r="K22" s="8" t="s">
        <v>39</v>
      </c>
      <c r="L22" s="9"/>
      <c r="M22" s="6" t="s">
        <v>22</v>
      </c>
      <c r="N22" s="6">
        <f t="shared" si="1"/>
        <v>0</v>
      </c>
      <c r="O22" s="10" t="s">
        <v>23</v>
      </c>
    </row>
    <row r="23" spans="1:29" s="27" customFormat="1" ht="13.8">
      <c r="A23" s="4">
        <f t="shared" si="0"/>
        <v>22</v>
      </c>
      <c r="B23" s="11" t="s">
        <v>44</v>
      </c>
      <c r="C23" s="6" t="s">
        <v>104</v>
      </c>
      <c r="D23" s="6" t="s">
        <v>123</v>
      </c>
      <c r="E23" s="6" t="s">
        <v>137</v>
      </c>
      <c r="F23" s="6" t="s">
        <v>138</v>
      </c>
      <c r="G23" s="6" t="s">
        <v>20</v>
      </c>
      <c r="H23" s="4">
        <v>2016</v>
      </c>
      <c r="I23" s="7">
        <v>1</v>
      </c>
      <c r="J23" s="8">
        <v>1780</v>
      </c>
      <c r="K23" s="8" t="s">
        <v>130</v>
      </c>
      <c r="L23" s="9"/>
      <c r="M23" s="6" t="s">
        <v>22</v>
      </c>
      <c r="N23" s="6">
        <f t="shared" si="1"/>
        <v>0</v>
      </c>
      <c r="O23" s="10" t="s">
        <v>23</v>
      </c>
    </row>
    <row r="24" spans="1:29" ht="13.8">
      <c r="A24" s="4">
        <f t="shared" si="0"/>
        <v>23</v>
      </c>
      <c r="B24" s="11" t="s">
        <v>44</v>
      </c>
      <c r="C24" s="6" t="s">
        <v>104</v>
      </c>
      <c r="D24" s="6" t="s">
        <v>123</v>
      </c>
      <c r="E24" s="6" t="s">
        <v>137</v>
      </c>
      <c r="F24" s="6" t="s">
        <v>139</v>
      </c>
      <c r="G24" s="6" t="s">
        <v>20</v>
      </c>
      <c r="H24" s="4">
        <v>2016</v>
      </c>
      <c r="I24" s="7">
        <v>1</v>
      </c>
      <c r="J24" s="8">
        <v>1680</v>
      </c>
      <c r="K24" s="8" t="s">
        <v>130</v>
      </c>
      <c r="L24" s="9"/>
      <c r="M24" s="6" t="s">
        <v>22</v>
      </c>
      <c r="N24" s="6">
        <f t="shared" si="1"/>
        <v>0</v>
      </c>
      <c r="O24" s="10" t="s">
        <v>23</v>
      </c>
    </row>
    <row r="25" spans="1:29" s="28" customFormat="1" ht="13.8">
      <c r="A25" s="4">
        <f t="shared" si="0"/>
        <v>24</v>
      </c>
      <c r="B25" s="11" t="s">
        <v>44</v>
      </c>
      <c r="C25" s="6" t="s">
        <v>104</v>
      </c>
      <c r="D25" s="6" t="s">
        <v>105</v>
      </c>
      <c r="E25" s="6" t="s">
        <v>105</v>
      </c>
      <c r="F25" s="6" t="s">
        <v>105</v>
      </c>
      <c r="G25" s="6" t="s">
        <v>75</v>
      </c>
      <c r="H25" s="4">
        <v>2016</v>
      </c>
      <c r="I25" s="7">
        <v>1</v>
      </c>
      <c r="J25" s="8">
        <v>2400</v>
      </c>
      <c r="K25" s="6" t="s">
        <v>106</v>
      </c>
      <c r="L25" s="9"/>
      <c r="M25" s="6" t="s">
        <v>22</v>
      </c>
      <c r="N25" s="6">
        <f t="shared" si="1"/>
        <v>0</v>
      </c>
      <c r="O25" s="10" t="s">
        <v>23</v>
      </c>
    </row>
    <row r="26" spans="1:29" ht="13.8">
      <c r="A26" s="4">
        <f t="shared" si="0"/>
        <v>25</v>
      </c>
      <c r="B26" s="11" t="s">
        <v>44</v>
      </c>
      <c r="C26" s="6" t="s">
        <v>86</v>
      </c>
      <c r="D26" s="6" t="s">
        <v>94</v>
      </c>
      <c r="E26" s="6" t="s">
        <v>97</v>
      </c>
      <c r="F26" s="6" t="s">
        <v>98</v>
      </c>
      <c r="G26" s="6" t="s">
        <v>75</v>
      </c>
      <c r="H26" s="4">
        <v>2022</v>
      </c>
      <c r="I26" s="7">
        <v>1</v>
      </c>
      <c r="J26" s="8">
        <v>1104</v>
      </c>
      <c r="K26" s="6" t="s">
        <v>99</v>
      </c>
      <c r="L26" s="9"/>
      <c r="M26" s="6"/>
      <c r="N26" s="6">
        <f t="shared" si="1"/>
        <v>0</v>
      </c>
      <c r="O26" s="10" t="s">
        <v>23</v>
      </c>
    </row>
    <row r="27" spans="1:29" ht="13.8">
      <c r="A27" s="4">
        <f t="shared" si="0"/>
        <v>26</v>
      </c>
      <c r="B27" s="11" t="s">
        <v>44</v>
      </c>
      <c r="C27" s="6" t="s">
        <v>159</v>
      </c>
      <c r="D27" s="6" t="s">
        <v>160</v>
      </c>
      <c r="E27" s="6" t="s">
        <v>166</v>
      </c>
      <c r="F27" s="6" t="s">
        <v>167</v>
      </c>
      <c r="G27" s="6" t="s">
        <v>20</v>
      </c>
      <c r="H27" s="4">
        <v>2012</v>
      </c>
      <c r="I27" s="7">
        <v>1</v>
      </c>
      <c r="J27" s="8">
        <v>2850</v>
      </c>
      <c r="K27" s="8" t="s">
        <v>34</v>
      </c>
      <c r="L27" s="9"/>
      <c r="M27" s="6" t="s">
        <v>22</v>
      </c>
      <c r="N27" s="6">
        <f t="shared" si="1"/>
        <v>0</v>
      </c>
      <c r="O27" s="10" t="s">
        <v>23</v>
      </c>
    </row>
    <row r="28" spans="1:29" ht="13.8">
      <c r="A28" s="4">
        <f t="shared" si="0"/>
        <v>27</v>
      </c>
      <c r="B28" s="11" t="s">
        <v>44</v>
      </c>
      <c r="C28" s="6" t="s">
        <v>45</v>
      </c>
      <c r="D28" s="6" t="s">
        <v>51</v>
      </c>
      <c r="E28" s="6" t="s">
        <v>52</v>
      </c>
      <c r="F28" s="6" t="s">
        <v>53</v>
      </c>
      <c r="G28" s="6" t="s">
        <v>20</v>
      </c>
      <c r="H28" s="4">
        <v>2018</v>
      </c>
      <c r="I28" s="7">
        <v>2</v>
      </c>
      <c r="J28" s="8">
        <v>2100</v>
      </c>
      <c r="K28" s="8" t="s">
        <v>27</v>
      </c>
      <c r="L28" s="9"/>
      <c r="M28" s="6" t="s">
        <v>22</v>
      </c>
      <c r="N28" s="6">
        <f t="shared" si="1"/>
        <v>0</v>
      </c>
      <c r="O28" s="10" t="s">
        <v>23</v>
      </c>
    </row>
    <row r="29" spans="1:29" ht="13.8">
      <c r="A29" s="4">
        <f t="shared" si="0"/>
        <v>28</v>
      </c>
      <c r="B29" s="11" t="s">
        <v>178</v>
      </c>
      <c r="C29" s="6" t="s">
        <v>184</v>
      </c>
      <c r="D29" s="6" t="s">
        <v>184</v>
      </c>
      <c r="E29" s="6" t="s">
        <v>187</v>
      </c>
      <c r="F29" s="6" t="s">
        <v>186</v>
      </c>
      <c r="G29" s="6" t="s">
        <v>20</v>
      </c>
      <c r="H29" s="4">
        <v>2015</v>
      </c>
      <c r="I29" s="7">
        <v>1</v>
      </c>
      <c r="J29" s="8"/>
      <c r="K29" s="8"/>
      <c r="L29" s="9"/>
      <c r="M29" s="6" t="s">
        <v>22</v>
      </c>
      <c r="N29" s="6">
        <f t="shared" si="1"/>
        <v>0</v>
      </c>
      <c r="O29" s="10" t="s">
        <v>23</v>
      </c>
    </row>
    <row r="30" spans="1:29" ht="13.8">
      <c r="A30" s="4">
        <f t="shared" si="0"/>
        <v>29</v>
      </c>
      <c r="B30" s="11" t="s">
        <v>44</v>
      </c>
      <c r="C30" s="6" t="s">
        <v>104</v>
      </c>
      <c r="D30" s="6" t="s">
        <v>140</v>
      </c>
      <c r="E30" s="6" t="s">
        <v>149</v>
      </c>
      <c r="F30" s="6" t="s">
        <v>151</v>
      </c>
      <c r="G30" s="6" t="s">
        <v>20</v>
      </c>
      <c r="H30" s="4">
        <v>2010</v>
      </c>
      <c r="I30" s="7">
        <v>1</v>
      </c>
      <c r="J30" s="8">
        <v>1780</v>
      </c>
      <c r="K30" s="8" t="s">
        <v>34</v>
      </c>
      <c r="L30" s="9"/>
      <c r="M30" s="6"/>
      <c r="N30" s="6">
        <f t="shared" si="1"/>
        <v>0</v>
      </c>
    </row>
    <row r="31" spans="1:29" ht="18" customHeight="1">
      <c r="A31" s="4">
        <f t="shared" si="0"/>
        <v>30</v>
      </c>
      <c r="B31" s="11" t="s">
        <v>44</v>
      </c>
      <c r="C31" s="6" t="s">
        <v>104</v>
      </c>
      <c r="D31" s="6" t="s">
        <v>110</v>
      </c>
      <c r="E31" s="6" t="s">
        <v>121</v>
      </c>
      <c r="F31" s="6" t="s">
        <v>122</v>
      </c>
      <c r="G31" s="6" t="s">
        <v>20</v>
      </c>
      <c r="H31" s="4">
        <v>2011</v>
      </c>
      <c r="I31" s="7">
        <v>1</v>
      </c>
      <c r="J31" s="8">
        <v>2299</v>
      </c>
      <c r="K31" s="8" t="s">
        <v>39</v>
      </c>
      <c r="L31" s="9"/>
      <c r="M31" s="6" t="s">
        <v>22</v>
      </c>
      <c r="N31" s="6">
        <f t="shared" si="1"/>
        <v>0</v>
      </c>
      <c r="O31" s="10" t="s">
        <v>23</v>
      </c>
    </row>
    <row r="32" spans="1:29" ht="18" customHeight="1">
      <c r="A32" s="4">
        <f t="shared" si="0"/>
        <v>31</v>
      </c>
      <c r="B32" s="11" t="s">
        <v>178</v>
      </c>
      <c r="C32" s="6" t="s">
        <v>199</v>
      </c>
      <c r="D32" s="6" t="s">
        <v>199</v>
      </c>
      <c r="E32" s="6" t="s">
        <v>213</v>
      </c>
      <c r="F32" s="6" t="s">
        <v>214</v>
      </c>
      <c r="G32" s="6" t="s">
        <v>20</v>
      </c>
      <c r="H32" s="4">
        <v>2018</v>
      </c>
      <c r="I32" s="7">
        <v>2</v>
      </c>
      <c r="J32" s="8">
        <v>2100</v>
      </c>
      <c r="K32" s="8" t="s">
        <v>27</v>
      </c>
      <c r="L32" s="9"/>
      <c r="M32" s="6" t="s">
        <v>22</v>
      </c>
      <c r="N32" s="6">
        <f t="shared" si="1"/>
        <v>0</v>
      </c>
    </row>
    <row r="33" spans="1:15" ht="13.8">
      <c r="A33" s="4">
        <f t="shared" si="0"/>
        <v>32</v>
      </c>
      <c r="B33" s="11" t="s">
        <v>44</v>
      </c>
      <c r="C33" s="6" t="s">
        <v>104</v>
      </c>
      <c r="D33" s="6" t="s">
        <v>123</v>
      </c>
      <c r="E33" s="6" t="s">
        <v>126</v>
      </c>
      <c r="F33" s="6" t="s">
        <v>127</v>
      </c>
      <c r="G33" s="6" t="s">
        <v>20</v>
      </c>
      <c r="H33" s="4">
        <v>2009</v>
      </c>
      <c r="I33" s="7">
        <v>1</v>
      </c>
      <c r="J33" s="8"/>
      <c r="K33" s="6" t="s">
        <v>56</v>
      </c>
      <c r="L33" s="9"/>
      <c r="M33" s="6"/>
      <c r="N33" s="6">
        <f t="shared" si="1"/>
        <v>0</v>
      </c>
      <c r="O33" s="10" t="s">
        <v>23</v>
      </c>
    </row>
    <row r="34" spans="1:15" ht="13.8">
      <c r="A34" s="4">
        <f t="shared" ref="A34:A65" si="2">ROW()-1</f>
        <v>33</v>
      </c>
      <c r="B34" s="11" t="s">
        <v>178</v>
      </c>
      <c r="C34" s="6" t="s">
        <v>184</v>
      </c>
      <c r="D34" s="6" t="s">
        <v>184</v>
      </c>
      <c r="E34" s="6" t="s">
        <v>185</v>
      </c>
      <c r="F34" s="6" t="s">
        <v>186</v>
      </c>
      <c r="G34" s="6" t="s">
        <v>20</v>
      </c>
      <c r="H34" s="4">
        <v>2000</v>
      </c>
      <c r="I34" s="7">
        <v>1</v>
      </c>
      <c r="J34" s="8"/>
      <c r="K34" s="8"/>
      <c r="L34" s="9"/>
      <c r="M34" s="6" t="s">
        <v>22</v>
      </c>
      <c r="N34" s="6">
        <f t="shared" ref="N34:N65" si="3">L34*I34</f>
        <v>0</v>
      </c>
      <c r="O34" s="10" t="s">
        <v>23</v>
      </c>
    </row>
    <row r="35" spans="1:15" ht="13.8">
      <c r="A35" s="4">
        <f t="shared" si="2"/>
        <v>34</v>
      </c>
      <c r="B35" s="11" t="s">
        <v>44</v>
      </c>
      <c r="C35" s="6" t="s">
        <v>104</v>
      </c>
      <c r="D35" s="6" t="s">
        <v>140</v>
      </c>
      <c r="E35" s="6" t="s">
        <v>149</v>
      </c>
      <c r="F35" s="6" t="s">
        <v>150</v>
      </c>
      <c r="G35" s="6" t="s">
        <v>20</v>
      </c>
      <c r="H35" s="4">
        <v>2001</v>
      </c>
      <c r="I35" s="7">
        <v>1</v>
      </c>
      <c r="J35" s="8"/>
      <c r="K35" s="6" t="s">
        <v>56</v>
      </c>
      <c r="L35" s="9"/>
      <c r="M35" s="6"/>
      <c r="N35" s="6">
        <f t="shared" si="3"/>
        <v>0</v>
      </c>
      <c r="O35" s="10" t="s">
        <v>23</v>
      </c>
    </row>
    <row r="36" spans="1:15" ht="13.8">
      <c r="A36" s="4">
        <f t="shared" si="2"/>
        <v>35</v>
      </c>
      <c r="B36" s="11" t="s">
        <v>44</v>
      </c>
      <c r="C36" s="6" t="s">
        <v>104</v>
      </c>
      <c r="D36" s="6" t="s">
        <v>123</v>
      </c>
      <c r="E36" s="6" t="s">
        <v>134</v>
      </c>
      <c r="F36" s="6" t="s">
        <v>129</v>
      </c>
      <c r="G36" s="6" t="s">
        <v>20</v>
      </c>
      <c r="H36" s="4">
        <v>2014</v>
      </c>
      <c r="I36" s="7">
        <v>1</v>
      </c>
      <c r="J36" s="8">
        <v>2280</v>
      </c>
      <c r="K36" s="8" t="s">
        <v>34</v>
      </c>
      <c r="L36" s="9"/>
      <c r="M36" s="6" t="s">
        <v>22</v>
      </c>
      <c r="N36" s="6">
        <f t="shared" si="3"/>
        <v>0</v>
      </c>
      <c r="O36" s="10" t="s">
        <v>23</v>
      </c>
    </row>
    <row r="37" spans="1:15" ht="13.8">
      <c r="A37" s="12">
        <f t="shared" si="2"/>
        <v>36</v>
      </c>
      <c r="B37" s="13" t="s">
        <v>178</v>
      </c>
      <c r="C37" s="14" t="s">
        <v>195</v>
      </c>
      <c r="D37" s="14" t="s">
        <v>195</v>
      </c>
      <c r="E37" s="14" t="s">
        <v>196</v>
      </c>
      <c r="F37" s="14" t="s">
        <v>197</v>
      </c>
      <c r="G37" s="14" t="s">
        <v>20</v>
      </c>
      <c r="H37" s="15">
        <v>1978</v>
      </c>
      <c r="I37" s="16">
        <v>1</v>
      </c>
      <c r="J37" s="17"/>
      <c r="K37" s="17" t="s">
        <v>198</v>
      </c>
      <c r="L37" s="18"/>
      <c r="M37" s="14" t="s">
        <v>22</v>
      </c>
      <c r="N37" s="14">
        <f t="shared" si="3"/>
        <v>0</v>
      </c>
      <c r="O37" s="19" t="s">
        <v>23</v>
      </c>
    </row>
    <row r="38" spans="1:15" ht="13.8">
      <c r="A38" s="4">
        <f t="shared" si="2"/>
        <v>37</v>
      </c>
      <c r="B38" s="11" t="s">
        <v>44</v>
      </c>
      <c r="C38" s="6" t="s">
        <v>104</v>
      </c>
      <c r="D38" s="6" t="s">
        <v>123</v>
      </c>
      <c r="E38" s="6" t="s">
        <v>126</v>
      </c>
      <c r="F38" s="6" t="s">
        <v>127</v>
      </c>
      <c r="G38" s="6" t="s">
        <v>20</v>
      </c>
      <c r="H38" s="4">
        <v>2005</v>
      </c>
      <c r="I38" s="7">
        <v>1</v>
      </c>
      <c r="J38" s="8"/>
      <c r="K38" s="6" t="s">
        <v>56</v>
      </c>
      <c r="L38" s="9"/>
      <c r="M38" s="6"/>
      <c r="N38" s="6">
        <f t="shared" si="3"/>
        <v>0</v>
      </c>
      <c r="O38" s="10" t="s">
        <v>23</v>
      </c>
    </row>
    <row r="39" spans="1:15" ht="13.8">
      <c r="A39" s="4">
        <f t="shared" si="2"/>
        <v>38</v>
      </c>
      <c r="B39" s="11" t="s">
        <v>44</v>
      </c>
      <c r="C39" s="6" t="s">
        <v>45</v>
      </c>
      <c r="D39" s="6" t="s">
        <v>51</v>
      </c>
      <c r="E39" s="6" t="s">
        <v>55</v>
      </c>
      <c r="F39" s="6" t="s">
        <v>22</v>
      </c>
      <c r="G39" s="6" t="s">
        <v>20</v>
      </c>
      <c r="H39" s="4">
        <v>1988</v>
      </c>
      <c r="I39" s="7">
        <v>1</v>
      </c>
      <c r="J39" s="8"/>
      <c r="K39" s="6" t="s">
        <v>56</v>
      </c>
      <c r="L39" s="9"/>
      <c r="M39" s="6" t="s">
        <v>57</v>
      </c>
      <c r="N39" s="6">
        <f t="shared" si="3"/>
        <v>0</v>
      </c>
    </row>
    <row r="40" spans="1:15" ht="13.8">
      <c r="A40" s="12">
        <f t="shared" si="2"/>
        <v>39</v>
      </c>
      <c r="B40" s="20" t="s">
        <v>44</v>
      </c>
      <c r="C40" s="21" t="s">
        <v>45</v>
      </c>
      <c r="D40" s="21" t="s">
        <v>67</v>
      </c>
      <c r="E40" s="21" t="s">
        <v>68</v>
      </c>
      <c r="F40" s="21" t="s">
        <v>22</v>
      </c>
      <c r="G40" s="21" t="s">
        <v>20</v>
      </c>
      <c r="H40" s="22">
        <v>1985</v>
      </c>
      <c r="I40" s="23">
        <v>1</v>
      </c>
      <c r="J40" s="24"/>
      <c r="K40" s="21" t="s">
        <v>56</v>
      </c>
      <c r="L40" s="25"/>
      <c r="M40" s="21" t="s">
        <v>22</v>
      </c>
      <c r="N40" s="21">
        <f t="shared" si="3"/>
        <v>0</v>
      </c>
      <c r="O40" s="26" t="s">
        <v>23</v>
      </c>
    </row>
    <row r="41" spans="1:15" ht="13.8">
      <c r="A41" s="4">
        <f t="shared" si="2"/>
        <v>40</v>
      </c>
      <c r="B41" s="11" t="s">
        <v>44</v>
      </c>
      <c r="C41" s="6" t="s">
        <v>45</v>
      </c>
      <c r="D41" s="6" t="s">
        <v>51</v>
      </c>
      <c r="E41" s="6" t="s">
        <v>55</v>
      </c>
      <c r="F41" s="6" t="s">
        <v>22</v>
      </c>
      <c r="G41" s="6" t="s">
        <v>20</v>
      </c>
      <c r="H41" s="4">
        <v>2019</v>
      </c>
      <c r="I41" s="7">
        <v>1</v>
      </c>
      <c r="J41" s="8">
        <v>1584</v>
      </c>
      <c r="K41" s="8" t="s">
        <v>39</v>
      </c>
      <c r="L41" s="9"/>
      <c r="M41" s="6" t="s">
        <v>22</v>
      </c>
      <c r="N41" s="6">
        <f t="shared" si="3"/>
        <v>0</v>
      </c>
      <c r="O41" s="10" t="s">
        <v>23</v>
      </c>
    </row>
    <row r="42" spans="1:15" ht="13.8">
      <c r="A42" s="12">
        <f t="shared" si="2"/>
        <v>41</v>
      </c>
      <c r="B42" s="20" t="s">
        <v>44</v>
      </c>
      <c r="C42" s="21" t="s">
        <v>45</v>
      </c>
      <c r="D42" s="21" t="s">
        <v>63</v>
      </c>
      <c r="E42" s="21" t="s">
        <v>65</v>
      </c>
      <c r="F42" s="21" t="s">
        <v>22</v>
      </c>
      <c r="G42" s="21" t="s">
        <v>20</v>
      </c>
      <c r="H42" s="22">
        <v>1986</v>
      </c>
      <c r="I42" s="23">
        <v>1</v>
      </c>
      <c r="J42" s="24"/>
      <c r="K42" s="21" t="s">
        <v>56</v>
      </c>
      <c r="L42" s="25"/>
      <c r="M42" s="21" t="s">
        <v>22</v>
      </c>
      <c r="N42" s="21">
        <f t="shared" si="3"/>
        <v>0</v>
      </c>
      <c r="O42" s="26" t="s">
        <v>23</v>
      </c>
    </row>
    <row r="43" spans="1:15" ht="13.8">
      <c r="A43" s="4">
        <f t="shared" si="2"/>
        <v>42</v>
      </c>
      <c r="B43" s="11" t="s">
        <v>44</v>
      </c>
      <c r="C43" s="6" t="s">
        <v>104</v>
      </c>
      <c r="D43" s="6" t="s">
        <v>123</v>
      </c>
      <c r="E43" s="6" t="s">
        <v>132</v>
      </c>
      <c r="F43" s="6" t="s">
        <v>133</v>
      </c>
      <c r="G43" s="6" t="s">
        <v>20</v>
      </c>
      <c r="H43" s="4">
        <v>2015</v>
      </c>
      <c r="I43" s="7">
        <v>1</v>
      </c>
      <c r="J43" s="8">
        <v>1888</v>
      </c>
      <c r="K43" s="8" t="s">
        <v>130</v>
      </c>
      <c r="L43" s="9"/>
      <c r="M43" s="6" t="s">
        <v>22</v>
      </c>
      <c r="N43" s="6">
        <f t="shared" si="3"/>
        <v>0</v>
      </c>
      <c r="O43" s="10" t="s">
        <v>23</v>
      </c>
    </row>
    <row r="44" spans="1:15" ht="13.8">
      <c r="A44" s="4">
        <f t="shared" si="2"/>
        <v>43</v>
      </c>
      <c r="B44" s="11" t="s">
        <v>44</v>
      </c>
      <c r="C44" s="6" t="s">
        <v>104</v>
      </c>
      <c r="D44" s="6" t="s">
        <v>140</v>
      </c>
      <c r="E44" s="6" t="s">
        <v>145</v>
      </c>
      <c r="F44" s="6" t="s">
        <v>146</v>
      </c>
      <c r="G44" s="6" t="s">
        <v>20</v>
      </c>
      <c r="H44" s="4">
        <v>2019</v>
      </c>
      <c r="I44" s="7">
        <v>1</v>
      </c>
      <c r="J44" s="8"/>
      <c r="K44" s="8" t="s">
        <v>34</v>
      </c>
      <c r="L44" s="9"/>
      <c r="M44" s="6" t="s">
        <v>22</v>
      </c>
      <c r="N44" s="6">
        <f t="shared" si="3"/>
        <v>0</v>
      </c>
      <c r="O44" s="10" t="s">
        <v>23</v>
      </c>
    </row>
    <row r="45" spans="1:15" ht="18" customHeight="1">
      <c r="A45" s="4">
        <f t="shared" si="2"/>
        <v>44</v>
      </c>
      <c r="B45" s="11" t="s">
        <v>178</v>
      </c>
      <c r="C45" s="6" t="s">
        <v>199</v>
      </c>
      <c r="D45" s="6" t="s">
        <v>199</v>
      </c>
      <c r="E45" s="6" t="s">
        <v>208</v>
      </c>
      <c r="F45" s="6" t="s">
        <v>209</v>
      </c>
      <c r="G45" s="6" t="s">
        <v>20</v>
      </c>
      <c r="H45" s="4">
        <v>2006</v>
      </c>
      <c r="I45" s="7">
        <v>1</v>
      </c>
      <c r="J45" s="8"/>
      <c r="K45" s="6" t="s">
        <v>206</v>
      </c>
      <c r="L45" s="9"/>
      <c r="M45" s="6"/>
      <c r="N45" s="6">
        <f t="shared" si="3"/>
        <v>0</v>
      </c>
    </row>
    <row r="46" spans="1:15" s="28" customFormat="1" ht="13.8">
      <c r="A46" s="4">
        <f t="shared" si="2"/>
        <v>45</v>
      </c>
      <c r="B46" s="11" t="s">
        <v>44</v>
      </c>
      <c r="C46" s="6" t="s">
        <v>45</v>
      </c>
      <c r="D46" s="6" t="s">
        <v>63</v>
      </c>
      <c r="E46" s="6" t="s">
        <v>66</v>
      </c>
      <c r="F46" s="6" t="s">
        <v>22</v>
      </c>
      <c r="G46" s="6" t="s">
        <v>20</v>
      </c>
      <c r="H46" s="4">
        <v>2016</v>
      </c>
      <c r="I46" s="7">
        <v>1</v>
      </c>
      <c r="J46" s="8">
        <v>1684</v>
      </c>
      <c r="K46" s="8" t="s">
        <v>39</v>
      </c>
      <c r="L46" s="9"/>
      <c r="M46" s="6" t="s">
        <v>22</v>
      </c>
      <c r="N46" s="6">
        <f t="shared" si="3"/>
        <v>0</v>
      </c>
      <c r="O46" s="10" t="s">
        <v>23</v>
      </c>
    </row>
    <row r="47" spans="1:15" ht="13.8">
      <c r="A47" s="4">
        <f t="shared" si="2"/>
        <v>46</v>
      </c>
      <c r="B47" s="11" t="s">
        <v>44</v>
      </c>
      <c r="C47" s="6" t="s">
        <v>104</v>
      </c>
      <c r="D47" s="6" t="s">
        <v>154</v>
      </c>
      <c r="E47" s="6" t="s">
        <v>143</v>
      </c>
      <c r="F47" s="6" t="s">
        <v>155</v>
      </c>
      <c r="G47" s="6" t="s">
        <v>20</v>
      </c>
      <c r="H47" s="4">
        <v>2022</v>
      </c>
      <c r="I47" s="7">
        <v>1</v>
      </c>
      <c r="J47" s="8">
        <v>1550</v>
      </c>
      <c r="K47" s="8" t="s">
        <v>144</v>
      </c>
      <c r="L47" s="9"/>
      <c r="M47" s="6" t="s">
        <v>22</v>
      </c>
      <c r="N47" s="6">
        <f t="shared" si="3"/>
        <v>0</v>
      </c>
    </row>
    <row r="48" spans="1:15" ht="13.8">
      <c r="A48" s="12">
        <f t="shared" si="2"/>
        <v>47</v>
      </c>
      <c r="B48" s="20" t="s">
        <v>44</v>
      </c>
      <c r="C48" s="21" t="s">
        <v>45</v>
      </c>
      <c r="D48" s="21" t="s">
        <v>67</v>
      </c>
      <c r="E48" s="21" t="s">
        <v>69</v>
      </c>
      <c r="F48" s="21" t="s">
        <v>70</v>
      </c>
      <c r="G48" s="21" t="s">
        <v>20</v>
      </c>
      <c r="H48" s="22">
        <v>1975</v>
      </c>
      <c r="I48" s="23">
        <v>1</v>
      </c>
      <c r="J48" s="24"/>
      <c r="K48" s="21" t="s">
        <v>56</v>
      </c>
      <c r="L48" s="25"/>
      <c r="M48" s="21" t="s">
        <v>22</v>
      </c>
      <c r="N48" s="21">
        <f t="shared" si="3"/>
        <v>0</v>
      </c>
      <c r="O48" s="26" t="s">
        <v>23</v>
      </c>
    </row>
    <row r="49" spans="1:15" ht="13.8">
      <c r="A49" s="12">
        <f t="shared" si="2"/>
        <v>48</v>
      </c>
      <c r="B49" s="13" t="s">
        <v>44</v>
      </c>
      <c r="C49" s="14" t="s">
        <v>104</v>
      </c>
      <c r="D49" s="14" t="s">
        <v>140</v>
      </c>
      <c r="E49" s="14" t="s">
        <v>124</v>
      </c>
      <c r="F49" s="14" t="s">
        <v>141</v>
      </c>
      <c r="G49" s="14" t="s">
        <v>20</v>
      </c>
      <c r="H49" s="15">
        <v>2014</v>
      </c>
      <c r="I49" s="16">
        <v>1</v>
      </c>
      <c r="J49" s="17"/>
      <c r="K49" s="17" t="s">
        <v>142</v>
      </c>
      <c r="L49" s="18"/>
      <c r="M49" s="14"/>
      <c r="N49" s="14">
        <f t="shared" si="3"/>
        <v>0</v>
      </c>
      <c r="O49" s="19" t="s">
        <v>23</v>
      </c>
    </row>
    <row r="50" spans="1:15" ht="13.8">
      <c r="A50" s="4">
        <f t="shared" si="2"/>
        <v>49</v>
      </c>
      <c r="B50" s="11" t="s">
        <v>44</v>
      </c>
      <c r="C50" s="6" t="s">
        <v>45</v>
      </c>
      <c r="D50" s="6" t="s">
        <v>51</v>
      </c>
      <c r="E50" s="6" t="s">
        <v>58</v>
      </c>
      <c r="F50" s="6" t="s">
        <v>22</v>
      </c>
      <c r="G50" s="6" t="s">
        <v>20</v>
      </c>
      <c r="H50" s="4">
        <v>2015</v>
      </c>
      <c r="I50" s="7">
        <v>1</v>
      </c>
      <c r="J50" s="8">
        <v>880</v>
      </c>
      <c r="K50" s="8" t="s">
        <v>50</v>
      </c>
      <c r="L50" s="9"/>
      <c r="M50" s="6" t="s">
        <v>22</v>
      </c>
      <c r="N50" s="6">
        <f t="shared" si="3"/>
        <v>0</v>
      </c>
      <c r="O50" s="10" t="s">
        <v>23</v>
      </c>
    </row>
    <row r="51" spans="1:15" ht="13.8">
      <c r="A51" s="4">
        <f t="shared" si="2"/>
        <v>50</v>
      </c>
      <c r="B51" s="11" t="s">
        <v>44</v>
      </c>
      <c r="C51" s="6" t="s">
        <v>45</v>
      </c>
      <c r="D51" s="6" t="s">
        <v>63</v>
      </c>
      <c r="E51" s="6" t="s">
        <v>64</v>
      </c>
      <c r="F51" s="6" t="s">
        <v>64</v>
      </c>
      <c r="G51" s="6" t="s">
        <v>20</v>
      </c>
      <c r="H51" s="4">
        <v>2005</v>
      </c>
      <c r="I51" s="7">
        <v>1</v>
      </c>
      <c r="J51" s="8"/>
      <c r="K51" s="8" t="s">
        <v>48</v>
      </c>
      <c r="L51" s="9"/>
      <c r="M51" s="6" t="s">
        <v>22</v>
      </c>
      <c r="N51" s="6">
        <f t="shared" si="3"/>
        <v>0</v>
      </c>
      <c r="O51" s="10" t="s">
        <v>23</v>
      </c>
    </row>
    <row r="52" spans="1:15" ht="13.8">
      <c r="A52" s="4">
        <f t="shared" si="2"/>
        <v>51</v>
      </c>
      <c r="B52" s="11" t="s">
        <v>44</v>
      </c>
      <c r="C52" s="6" t="s">
        <v>104</v>
      </c>
      <c r="D52" s="6" t="s">
        <v>123</v>
      </c>
      <c r="E52" s="6" t="s">
        <v>128</v>
      </c>
      <c r="F52" s="6" t="s">
        <v>129</v>
      </c>
      <c r="G52" s="6" t="s">
        <v>20</v>
      </c>
      <c r="H52" s="4">
        <v>2020</v>
      </c>
      <c r="I52" s="7">
        <v>1</v>
      </c>
      <c r="J52" s="8"/>
      <c r="K52" s="8" t="s">
        <v>34</v>
      </c>
      <c r="L52" s="9"/>
      <c r="M52" s="6" t="s">
        <v>22</v>
      </c>
      <c r="N52" s="6">
        <f t="shared" si="3"/>
        <v>0</v>
      </c>
      <c r="O52" s="10" t="s">
        <v>23</v>
      </c>
    </row>
    <row r="53" spans="1:15" ht="16.5" customHeight="1">
      <c r="A53" s="4">
        <f t="shared" si="2"/>
        <v>52</v>
      </c>
      <c r="B53" s="11" t="s">
        <v>44</v>
      </c>
      <c r="C53" s="6" t="s">
        <v>104</v>
      </c>
      <c r="D53" s="6" t="s">
        <v>110</v>
      </c>
      <c r="E53" s="6" t="s">
        <v>113</v>
      </c>
      <c r="F53" s="6" t="s">
        <v>110</v>
      </c>
      <c r="G53" s="6" t="s">
        <v>20</v>
      </c>
      <c r="H53" s="4">
        <v>2012</v>
      </c>
      <c r="I53" s="7">
        <v>1</v>
      </c>
      <c r="J53" s="8"/>
      <c r="K53" s="6" t="s">
        <v>56</v>
      </c>
      <c r="L53" s="9"/>
      <c r="M53" s="6" t="s">
        <v>22</v>
      </c>
      <c r="N53" s="6">
        <f t="shared" si="3"/>
        <v>0</v>
      </c>
      <c r="O53" s="10" t="s">
        <v>23</v>
      </c>
    </row>
    <row r="54" spans="1:15" ht="13.8">
      <c r="A54" s="4">
        <f t="shared" si="2"/>
        <v>53</v>
      </c>
      <c r="B54" s="11" t="s">
        <v>36</v>
      </c>
      <c r="C54" s="6" t="s">
        <v>37</v>
      </c>
      <c r="D54" s="6" t="s">
        <v>37</v>
      </c>
      <c r="E54" s="6" t="s">
        <v>38</v>
      </c>
      <c r="F54" s="6" t="s">
        <v>38</v>
      </c>
      <c r="G54" s="6" t="s">
        <v>20</v>
      </c>
      <c r="H54" s="4">
        <v>2020</v>
      </c>
      <c r="I54" s="7">
        <v>1</v>
      </c>
      <c r="J54" s="8">
        <v>1299</v>
      </c>
      <c r="K54" s="8" t="s">
        <v>39</v>
      </c>
      <c r="L54" s="9"/>
      <c r="M54" s="6" t="s">
        <v>22</v>
      </c>
      <c r="N54" s="6">
        <f t="shared" si="3"/>
        <v>0</v>
      </c>
      <c r="O54" s="10" t="s">
        <v>23</v>
      </c>
    </row>
    <row r="55" spans="1:15" ht="13.8">
      <c r="A55" s="4">
        <f t="shared" si="2"/>
        <v>54</v>
      </c>
      <c r="B55" s="11" t="s">
        <v>178</v>
      </c>
      <c r="C55" s="6" t="s">
        <v>199</v>
      </c>
      <c r="D55" s="6" t="s">
        <v>199</v>
      </c>
      <c r="E55" s="6" t="s">
        <v>200</v>
      </c>
      <c r="F55" s="6" t="s">
        <v>201</v>
      </c>
      <c r="G55" s="6" t="s">
        <v>20</v>
      </c>
      <c r="H55" s="4">
        <v>2016</v>
      </c>
      <c r="I55" s="7">
        <v>1</v>
      </c>
      <c r="J55" s="8">
        <v>844</v>
      </c>
      <c r="K55" s="8" t="s">
        <v>21</v>
      </c>
      <c r="L55" s="9"/>
      <c r="M55" s="6" t="s">
        <v>22</v>
      </c>
      <c r="N55" s="6">
        <f t="shared" si="3"/>
        <v>0</v>
      </c>
      <c r="O55" s="10" t="s">
        <v>23</v>
      </c>
    </row>
    <row r="56" spans="1:15" ht="13.8">
      <c r="A56" s="4">
        <f t="shared" si="2"/>
        <v>55</v>
      </c>
      <c r="B56" s="11" t="s">
        <v>44</v>
      </c>
      <c r="C56" s="6" t="s">
        <v>45</v>
      </c>
      <c r="D56" s="6" t="s">
        <v>63</v>
      </c>
      <c r="E56" s="6" t="s">
        <v>64</v>
      </c>
      <c r="F56" s="6" t="s">
        <v>64</v>
      </c>
      <c r="G56" s="6" t="s">
        <v>20</v>
      </c>
      <c r="H56" s="4">
        <v>2016</v>
      </c>
      <c r="I56" s="7">
        <v>1</v>
      </c>
      <c r="J56" s="8">
        <v>1399</v>
      </c>
      <c r="K56" s="8" t="s">
        <v>39</v>
      </c>
      <c r="L56" s="9"/>
      <c r="M56" s="6" t="s">
        <v>22</v>
      </c>
      <c r="N56" s="6">
        <f t="shared" si="3"/>
        <v>0</v>
      </c>
      <c r="O56" s="10" t="s">
        <v>23</v>
      </c>
    </row>
    <row r="57" spans="1:15" ht="13.8">
      <c r="A57" s="4">
        <f t="shared" si="2"/>
        <v>56</v>
      </c>
      <c r="B57" s="11" t="s">
        <v>178</v>
      </c>
      <c r="C57" s="6" t="s">
        <v>190</v>
      </c>
      <c r="D57" s="6" t="s">
        <v>190</v>
      </c>
      <c r="E57" s="6" t="s">
        <v>191</v>
      </c>
      <c r="F57" s="6" t="s">
        <v>192</v>
      </c>
      <c r="G57" s="6" t="s">
        <v>20</v>
      </c>
      <c r="H57" s="4">
        <v>2017</v>
      </c>
      <c r="I57" s="7">
        <v>1</v>
      </c>
      <c r="J57" s="8">
        <v>1180</v>
      </c>
      <c r="K57" s="8" t="s">
        <v>27</v>
      </c>
      <c r="L57" s="9"/>
      <c r="M57" s="6" t="s">
        <v>22</v>
      </c>
      <c r="N57" s="6">
        <f t="shared" si="3"/>
        <v>0</v>
      </c>
      <c r="O57" s="10" t="s">
        <v>23</v>
      </c>
    </row>
    <row r="58" spans="1:15" ht="13.8">
      <c r="A58" s="4">
        <f t="shared" si="2"/>
        <v>57</v>
      </c>
      <c r="B58" s="29" t="s">
        <v>253</v>
      </c>
      <c r="C58" s="6" t="s">
        <v>254</v>
      </c>
      <c r="D58" s="6" t="s">
        <v>254</v>
      </c>
      <c r="E58" s="6" t="s">
        <v>255</v>
      </c>
      <c r="F58" s="6" t="s">
        <v>256</v>
      </c>
      <c r="G58" s="6" t="s">
        <v>20</v>
      </c>
      <c r="H58" s="4">
        <v>2015</v>
      </c>
      <c r="I58" s="7">
        <v>1</v>
      </c>
      <c r="J58" s="8">
        <v>750</v>
      </c>
      <c r="K58" s="8" t="s">
        <v>21</v>
      </c>
      <c r="L58" s="9"/>
      <c r="M58" s="6" t="s">
        <v>22</v>
      </c>
      <c r="N58" s="6">
        <f t="shared" si="3"/>
        <v>0</v>
      </c>
      <c r="O58" s="10" t="s">
        <v>23</v>
      </c>
    </row>
    <row r="59" spans="1:15" ht="13.8">
      <c r="A59" s="4">
        <f t="shared" si="2"/>
        <v>58</v>
      </c>
      <c r="B59" s="11" t="s">
        <v>249</v>
      </c>
      <c r="C59" s="6" t="s">
        <v>250</v>
      </c>
      <c r="D59" s="6" t="s">
        <v>250</v>
      </c>
      <c r="E59" s="6" t="s">
        <v>251</v>
      </c>
      <c r="F59" s="6" t="s">
        <v>252</v>
      </c>
      <c r="G59" s="6" t="s">
        <v>20</v>
      </c>
      <c r="H59" s="4">
        <v>2016</v>
      </c>
      <c r="I59" s="7">
        <v>1</v>
      </c>
      <c r="J59" s="8"/>
      <c r="K59" s="8"/>
      <c r="L59" s="9"/>
      <c r="M59" s="6" t="s">
        <v>22</v>
      </c>
      <c r="N59" s="6">
        <f t="shared" si="3"/>
        <v>0</v>
      </c>
      <c r="O59" s="10" t="s">
        <v>23</v>
      </c>
    </row>
    <row r="60" spans="1:15" ht="13.8">
      <c r="A60" s="4">
        <f t="shared" si="2"/>
        <v>59</v>
      </c>
      <c r="B60" s="11" t="s">
        <v>44</v>
      </c>
      <c r="C60" s="6" t="s">
        <v>86</v>
      </c>
      <c r="D60" s="6" t="s">
        <v>86</v>
      </c>
      <c r="E60" s="6" t="s">
        <v>91</v>
      </c>
      <c r="F60" s="6" t="s">
        <v>92</v>
      </c>
      <c r="G60" s="6" t="s">
        <v>75</v>
      </c>
      <c r="H60" s="4">
        <v>2021</v>
      </c>
      <c r="I60" s="7">
        <v>1</v>
      </c>
      <c r="J60" s="8">
        <v>1090</v>
      </c>
      <c r="K60" s="8" t="s">
        <v>93</v>
      </c>
      <c r="L60" s="9"/>
      <c r="M60" s="6" t="s">
        <v>22</v>
      </c>
      <c r="N60" s="6">
        <f t="shared" si="3"/>
        <v>0</v>
      </c>
      <c r="O60" s="10" t="s">
        <v>23</v>
      </c>
    </row>
    <row r="61" spans="1:15" ht="13.8">
      <c r="A61" s="4">
        <f t="shared" si="2"/>
        <v>60</v>
      </c>
      <c r="B61" s="11" t="s">
        <v>178</v>
      </c>
      <c r="C61" s="6" t="s">
        <v>179</v>
      </c>
      <c r="D61" s="6" t="s">
        <v>179</v>
      </c>
      <c r="E61" s="6" t="s">
        <v>180</v>
      </c>
      <c r="F61" s="6" t="s">
        <v>183</v>
      </c>
      <c r="G61" s="6" t="s">
        <v>75</v>
      </c>
      <c r="H61" s="4">
        <v>2017</v>
      </c>
      <c r="I61" s="7">
        <v>1</v>
      </c>
      <c r="J61" s="8"/>
      <c r="K61" s="8"/>
      <c r="L61" s="9"/>
      <c r="M61" s="6" t="s">
        <v>22</v>
      </c>
      <c r="N61" s="6">
        <f t="shared" si="3"/>
        <v>0</v>
      </c>
      <c r="O61" s="10" t="s">
        <v>23</v>
      </c>
    </row>
    <row r="62" spans="1:15" ht="16.5" customHeight="1">
      <c r="A62" s="4">
        <f t="shared" si="2"/>
        <v>61</v>
      </c>
      <c r="B62" s="11" t="s">
        <v>44</v>
      </c>
      <c r="C62" s="6" t="s">
        <v>104</v>
      </c>
      <c r="D62" s="6" t="s">
        <v>154</v>
      </c>
      <c r="E62" s="6" t="s">
        <v>158</v>
      </c>
      <c r="F62" s="6" t="s">
        <v>154</v>
      </c>
      <c r="G62" s="6" t="s">
        <v>20</v>
      </c>
      <c r="H62" s="4">
        <v>2018</v>
      </c>
      <c r="I62" s="7">
        <v>1</v>
      </c>
      <c r="J62" s="8"/>
      <c r="K62" s="8" t="s">
        <v>90</v>
      </c>
      <c r="L62" s="9"/>
      <c r="M62" s="6" t="s">
        <v>22</v>
      </c>
      <c r="N62" s="6">
        <f t="shared" si="3"/>
        <v>0</v>
      </c>
      <c r="O62" s="10" t="s">
        <v>23</v>
      </c>
    </row>
    <row r="63" spans="1:15" s="28" customFormat="1" ht="13.8">
      <c r="A63" s="12">
        <f t="shared" si="2"/>
        <v>62</v>
      </c>
      <c r="B63" s="13" t="s">
        <v>44</v>
      </c>
      <c r="C63" s="14" t="s">
        <v>104</v>
      </c>
      <c r="D63" s="14" t="s">
        <v>123</v>
      </c>
      <c r="E63" s="14" t="s">
        <v>124</v>
      </c>
      <c r="F63" s="14" t="s">
        <v>125</v>
      </c>
      <c r="G63" s="14" t="s">
        <v>20</v>
      </c>
      <c r="H63" s="15">
        <v>1990</v>
      </c>
      <c r="I63" s="16">
        <v>1</v>
      </c>
      <c r="J63" s="17">
        <v>998</v>
      </c>
      <c r="K63" s="14" t="s">
        <v>106</v>
      </c>
      <c r="L63" s="18"/>
      <c r="M63" s="14" t="s">
        <v>22</v>
      </c>
      <c r="N63" s="14">
        <f t="shared" si="3"/>
        <v>0</v>
      </c>
      <c r="O63" s="19" t="s">
        <v>23</v>
      </c>
    </row>
    <row r="64" spans="1:15" ht="13.8">
      <c r="A64" s="4">
        <f t="shared" si="2"/>
        <v>63</v>
      </c>
      <c r="B64" s="11" t="s">
        <v>44</v>
      </c>
      <c r="C64" s="6" t="s">
        <v>104</v>
      </c>
      <c r="D64" s="6" t="s">
        <v>107</v>
      </c>
      <c r="E64" s="6" t="s">
        <v>108</v>
      </c>
      <c r="F64" s="6" t="s">
        <v>109</v>
      </c>
      <c r="G64" s="6" t="s">
        <v>75</v>
      </c>
      <c r="H64" s="4">
        <v>2020</v>
      </c>
      <c r="I64" s="7">
        <v>1</v>
      </c>
      <c r="J64" s="8">
        <v>1099</v>
      </c>
      <c r="K64" s="6" t="s">
        <v>34</v>
      </c>
      <c r="L64" s="9"/>
      <c r="M64" s="6" t="s">
        <v>22</v>
      </c>
      <c r="N64" s="6">
        <f t="shared" si="3"/>
        <v>0</v>
      </c>
      <c r="O64" s="10" t="s">
        <v>23</v>
      </c>
    </row>
    <row r="65" spans="1:15" ht="13.8">
      <c r="A65" s="4">
        <f t="shared" si="2"/>
        <v>64</v>
      </c>
      <c r="B65" s="11" t="s">
        <v>44</v>
      </c>
      <c r="C65" s="6" t="s">
        <v>104</v>
      </c>
      <c r="D65" s="6" t="s">
        <v>123</v>
      </c>
      <c r="E65" s="6" t="s">
        <v>128</v>
      </c>
      <c r="F65" s="6" t="s">
        <v>129</v>
      </c>
      <c r="G65" s="6" t="s">
        <v>20</v>
      </c>
      <c r="H65" s="4">
        <v>2009</v>
      </c>
      <c r="I65" s="7">
        <v>1</v>
      </c>
      <c r="J65" s="8">
        <v>1280</v>
      </c>
      <c r="K65" s="8" t="s">
        <v>130</v>
      </c>
      <c r="L65" s="9"/>
      <c r="M65" s="6" t="s">
        <v>22</v>
      </c>
      <c r="N65" s="6">
        <f t="shared" si="3"/>
        <v>0</v>
      </c>
      <c r="O65" s="10" t="s">
        <v>23</v>
      </c>
    </row>
    <row r="66" spans="1:15" ht="13.8">
      <c r="A66" s="4">
        <f t="shared" ref="A66:A97" si="4">ROW()-1</f>
        <v>65</v>
      </c>
      <c r="B66" s="11" t="s">
        <v>16</v>
      </c>
      <c r="C66" s="6" t="s">
        <v>17</v>
      </c>
      <c r="D66" s="6" t="s">
        <v>17</v>
      </c>
      <c r="E66" s="6" t="s">
        <v>18</v>
      </c>
      <c r="F66" s="6" t="s">
        <v>19</v>
      </c>
      <c r="G66" s="6" t="s">
        <v>20</v>
      </c>
      <c r="H66" s="4">
        <v>2016</v>
      </c>
      <c r="I66" s="7">
        <v>1</v>
      </c>
      <c r="J66" s="8">
        <v>480</v>
      </c>
      <c r="K66" s="8" t="s">
        <v>21</v>
      </c>
      <c r="L66" s="9"/>
      <c r="M66" s="6" t="s">
        <v>22</v>
      </c>
      <c r="N66" s="6">
        <f t="shared" ref="N66:N97" si="5">L66*I66</f>
        <v>0</v>
      </c>
      <c r="O66" s="10" t="s">
        <v>23</v>
      </c>
    </row>
    <row r="67" spans="1:15" ht="13.8">
      <c r="A67" s="12">
        <f t="shared" si="4"/>
        <v>66</v>
      </c>
      <c r="B67" s="20" t="s">
        <v>44</v>
      </c>
      <c r="C67" s="21" t="s">
        <v>86</v>
      </c>
      <c r="D67" s="21" t="s">
        <v>87</v>
      </c>
      <c r="E67" s="21" t="s">
        <v>88</v>
      </c>
      <c r="F67" s="21" t="s">
        <v>89</v>
      </c>
      <c r="G67" s="21" t="s">
        <v>20</v>
      </c>
      <c r="H67" s="22">
        <v>2013</v>
      </c>
      <c r="I67" s="23">
        <v>1</v>
      </c>
      <c r="J67" s="24"/>
      <c r="K67" s="24" t="s">
        <v>90</v>
      </c>
      <c r="L67" s="25"/>
      <c r="M67" s="21" t="s">
        <v>22</v>
      </c>
      <c r="N67" s="21">
        <f t="shared" si="5"/>
        <v>0</v>
      </c>
      <c r="O67" s="26" t="s">
        <v>23</v>
      </c>
    </row>
    <row r="68" spans="1:15" ht="19.05" customHeight="1">
      <c r="A68" s="4">
        <f t="shared" si="4"/>
        <v>67</v>
      </c>
      <c r="B68" s="11" t="s">
        <v>242</v>
      </c>
      <c r="C68" s="6" t="s">
        <v>243</v>
      </c>
      <c r="D68" s="6" t="s">
        <v>243</v>
      </c>
      <c r="E68" s="6" t="s">
        <v>247</v>
      </c>
      <c r="F68" s="6" t="s">
        <v>248</v>
      </c>
      <c r="G68" s="6" t="s">
        <v>246</v>
      </c>
      <c r="H68" s="4">
        <v>1994</v>
      </c>
      <c r="I68" s="7">
        <v>1</v>
      </c>
      <c r="J68" s="8">
        <v>699</v>
      </c>
      <c r="K68" s="8" t="s">
        <v>39</v>
      </c>
      <c r="L68" s="9"/>
      <c r="M68" s="6" t="s">
        <v>22</v>
      </c>
      <c r="N68" s="6">
        <f t="shared" si="5"/>
        <v>0</v>
      </c>
    </row>
    <row r="69" spans="1:15" ht="13.8">
      <c r="A69" s="4">
        <f t="shared" si="4"/>
        <v>68</v>
      </c>
      <c r="B69" s="11" t="s">
        <v>40</v>
      </c>
      <c r="C69" s="6" t="s">
        <v>41</v>
      </c>
      <c r="D69" s="6" t="s">
        <v>41</v>
      </c>
      <c r="E69" s="6" t="s">
        <v>42</v>
      </c>
      <c r="F69" s="6" t="s">
        <v>43</v>
      </c>
      <c r="G69" s="6" t="s">
        <v>20</v>
      </c>
      <c r="H69" s="4">
        <v>2015</v>
      </c>
      <c r="I69" s="7">
        <v>1</v>
      </c>
      <c r="J69" s="8"/>
      <c r="K69" s="8"/>
      <c r="L69" s="9"/>
      <c r="M69" s="6" t="s">
        <v>22</v>
      </c>
      <c r="N69" s="6">
        <f t="shared" si="5"/>
        <v>0</v>
      </c>
      <c r="O69" s="10" t="s">
        <v>23</v>
      </c>
    </row>
    <row r="70" spans="1:15" ht="13.8">
      <c r="A70" s="4">
        <f t="shared" si="4"/>
        <v>69</v>
      </c>
      <c r="B70" s="11" t="s">
        <v>44</v>
      </c>
      <c r="C70" s="6" t="s">
        <v>104</v>
      </c>
      <c r="D70" s="6" t="s">
        <v>110</v>
      </c>
      <c r="E70" s="6" t="s">
        <v>324</v>
      </c>
      <c r="F70" s="6" t="s">
        <v>122</v>
      </c>
      <c r="G70" s="6" t="s">
        <v>20</v>
      </c>
      <c r="H70" s="4">
        <v>2016</v>
      </c>
      <c r="I70" s="7">
        <v>1</v>
      </c>
      <c r="J70" s="8">
        <v>1007</v>
      </c>
      <c r="K70" s="8" t="s">
        <v>165</v>
      </c>
      <c r="L70" s="9"/>
      <c r="M70" s="6" t="s">
        <v>22</v>
      </c>
      <c r="N70" s="6">
        <f t="shared" si="5"/>
        <v>0</v>
      </c>
      <c r="O70" s="10" t="s">
        <v>23</v>
      </c>
    </row>
    <row r="71" spans="1:15" ht="13.8">
      <c r="A71" s="4">
        <f t="shared" si="4"/>
        <v>70</v>
      </c>
      <c r="B71" s="11" t="s">
        <v>16</v>
      </c>
      <c r="C71" s="6" t="s">
        <v>28</v>
      </c>
      <c r="D71" s="6" t="s">
        <v>28</v>
      </c>
      <c r="E71" s="6" t="s">
        <v>29</v>
      </c>
      <c r="F71" s="6" t="s">
        <v>30</v>
      </c>
      <c r="G71" s="6" t="s">
        <v>20</v>
      </c>
      <c r="H71" s="4">
        <v>2017</v>
      </c>
      <c r="I71" s="7">
        <v>1</v>
      </c>
      <c r="J71" s="8">
        <v>588</v>
      </c>
      <c r="K71" s="8" t="s">
        <v>21</v>
      </c>
      <c r="L71" s="9"/>
      <c r="M71" s="6" t="s">
        <v>22</v>
      </c>
      <c r="N71" s="6">
        <f t="shared" si="5"/>
        <v>0</v>
      </c>
      <c r="O71" s="10" t="s">
        <v>23</v>
      </c>
    </row>
    <row r="72" spans="1:15" ht="13.8">
      <c r="A72" s="12">
        <f t="shared" si="4"/>
        <v>71</v>
      </c>
      <c r="B72" s="20" t="s">
        <v>44</v>
      </c>
      <c r="C72" s="21" t="s">
        <v>45</v>
      </c>
      <c r="D72" s="21" t="s">
        <v>51</v>
      </c>
      <c r="E72" s="21" t="s">
        <v>54</v>
      </c>
      <c r="F72" s="21" t="s">
        <v>54</v>
      </c>
      <c r="G72" s="21" t="s">
        <v>20</v>
      </c>
      <c r="H72" s="22">
        <v>2017</v>
      </c>
      <c r="I72" s="23">
        <v>2</v>
      </c>
      <c r="J72" s="24"/>
      <c r="K72" s="24" t="s">
        <v>27</v>
      </c>
      <c r="L72" s="25"/>
      <c r="M72" s="21" t="s">
        <v>22</v>
      </c>
      <c r="N72" s="21">
        <f t="shared" si="5"/>
        <v>0</v>
      </c>
      <c r="O72" s="26" t="s">
        <v>23</v>
      </c>
    </row>
    <row r="73" spans="1:15" ht="18" customHeight="1">
      <c r="A73" s="12">
        <f t="shared" si="4"/>
        <v>72</v>
      </c>
      <c r="B73" s="13" t="s">
        <v>178</v>
      </c>
      <c r="C73" s="14" t="s">
        <v>215</v>
      </c>
      <c r="D73" s="14" t="s">
        <v>215</v>
      </c>
      <c r="E73" s="14" t="s">
        <v>218</v>
      </c>
      <c r="F73" s="14" t="s">
        <v>219</v>
      </c>
      <c r="G73" s="14" t="s">
        <v>20</v>
      </c>
      <c r="H73" s="15">
        <v>1998</v>
      </c>
      <c r="I73" s="16">
        <v>1</v>
      </c>
      <c r="J73" s="17">
        <v>550</v>
      </c>
      <c r="K73" s="17" t="s">
        <v>220</v>
      </c>
      <c r="L73" s="18"/>
      <c r="M73" s="14" t="s">
        <v>22</v>
      </c>
      <c r="N73" s="14">
        <f t="shared" si="5"/>
        <v>0</v>
      </c>
      <c r="O73" s="19" t="s">
        <v>23</v>
      </c>
    </row>
    <row r="74" spans="1:15" ht="13.8">
      <c r="A74" s="12">
        <f t="shared" si="4"/>
        <v>73</v>
      </c>
      <c r="B74" s="20" t="s">
        <v>44</v>
      </c>
      <c r="C74" s="21" t="s">
        <v>45</v>
      </c>
      <c r="D74" s="21" t="s">
        <v>51</v>
      </c>
      <c r="E74" s="21" t="s">
        <v>59</v>
      </c>
      <c r="F74" s="21" t="s">
        <v>22</v>
      </c>
      <c r="G74" s="21" t="s">
        <v>20</v>
      </c>
      <c r="H74" s="22">
        <v>2017</v>
      </c>
      <c r="I74" s="23">
        <v>1</v>
      </c>
      <c r="J74" s="24"/>
      <c r="K74" s="24" t="s">
        <v>60</v>
      </c>
      <c r="L74" s="25"/>
      <c r="M74" s="21" t="s">
        <v>22</v>
      </c>
      <c r="N74" s="21">
        <f t="shared" si="5"/>
        <v>0</v>
      </c>
      <c r="O74" s="26" t="s">
        <v>23</v>
      </c>
    </row>
    <row r="75" spans="1:15" ht="19.05" customHeight="1">
      <c r="A75" s="4">
        <f t="shared" si="4"/>
        <v>74</v>
      </c>
      <c r="B75" s="11" t="s">
        <v>44</v>
      </c>
      <c r="C75" s="6" t="s">
        <v>71</v>
      </c>
      <c r="D75" s="6" t="s">
        <v>72</v>
      </c>
      <c r="E75" s="6" t="s">
        <v>73</v>
      </c>
      <c r="F75" s="6" t="s">
        <v>74</v>
      </c>
      <c r="G75" s="6" t="s">
        <v>75</v>
      </c>
      <c r="H75" s="4">
        <v>2020</v>
      </c>
      <c r="I75" s="7">
        <v>1</v>
      </c>
      <c r="J75" s="8"/>
      <c r="K75" s="8"/>
      <c r="L75" s="9"/>
      <c r="M75" s="6" t="s">
        <v>22</v>
      </c>
      <c r="N75" s="6">
        <f t="shared" si="5"/>
        <v>0</v>
      </c>
      <c r="O75" s="10" t="s">
        <v>23</v>
      </c>
    </row>
    <row r="76" spans="1:15" ht="13.8">
      <c r="A76" s="4">
        <f t="shared" si="4"/>
        <v>75</v>
      </c>
      <c r="B76" s="11" t="s">
        <v>44</v>
      </c>
      <c r="C76" s="6" t="s">
        <v>71</v>
      </c>
      <c r="D76" s="6" t="s">
        <v>79</v>
      </c>
      <c r="E76" s="6" t="s">
        <v>73</v>
      </c>
      <c r="F76" s="6" t="s">
        <v>80</v>
      </c>
      <c r="G76" s="6" t="s">
        <v>20</v>
      </c>
      <c r="H76" s="4">
        <v>2018</v>
      </c>
      <c r="I76" s="7">
        <v>1</v>
      </c>
      <c r="J76" s="8"/>
      <c r="K76" s="8"/>
      <c r="L76" s="9"/>
      <c r="M76" s="6" t="s">
        <v>22</v>
      </c>
      <c r="N76" s="6">
        <f t="shared" si="5"/>
        <v>0</v>
      </c>
      <c r="O76" s="10" t="s">
        <v>23</v>
      </c>
    </row>
    <row r="77" spans="1:15" ht="13.8">
      <c r="A77" s="12">
        <f t="shared" si="4"/>
        <v>76</v>
      </c>
      <c r="B77" s="20" t="s">
        <v>178</v>
      </c>
      <c r="C77" s="21" t="s">
        <v>199</v>
      </c>
      <c r="D77" s="21" t="s">
        <v>199</v>
      </c>
      <c r="E77" s="21" t="s">
        <v>210</v>
      </c>
      <c r="F77" s="21" t="s">
        <v>211</v>
      </c>
      <c r="G77" s="21" t="s">
        <v>20</v>
      </c>
      <c r="H77" s="22">
        <v>1999</v>
      </c>
      <c r="I77" s="23">
        <v>1</v>
      </c>
      <c r="J77" s="24">
        <v>899</v>
      </c>
      <c r="K77" s="24" t="s">
        <v>27</v>
      </c>
      <c r="L77" s="25"/>
      <c r="M77" s="21" t="s">
        <v>22</v>
      </c>
      <c r="N77" s="21">
        <f t="shared" si="5"/>
        <v>0</v>
      </c>
      <c r="O77" s="26" t="s">
        <v>23</v>
      </c>
    </row>
    <row r="78" spans="1:15" s="28" customFormat="1" ht="13.8">
      <c r="A78" s="4">
        <f t="shared" si="4"/>
        <v>77</v>
      </c>
      <c r="B78" s="11" t="s">
        <v>44</v>
      </c>
      <c r="C78" s="6" t="s">
        <v>71</v>
      </c>
      <c r="D78" s="6" t="s">
        <v>81</v>
      </c>
      <c r="E78" s="6" t="s">
        <v>82</v>
      </c>
      <c r="F78" s="6" t="s">
        <v>83</v>
      </c>
      <c r="G78" s="6" t="s">
        <v>20</v>
      </c>
      <c r="H78" s="4">
        <v>2018</v>
      </c>
      <c r="I78" s="7">
        <v>1</v>
      </c>
      <c r="J78" s="8"/>
      <c r="K78" s="8" t="s">
        <v>39</v>
      </c>
      <c r="L78" s="9"/>
      <c r="M78" s="6" t="s">
        <v>22</v>
      </c>
      <c r="N78" s="6">
        <f t="shared" si="5"/>
        <v>0</v>
      </c>
      <c r="O78" s="10" t="s">
        <v>23</v>
      </c>
    </row>
    <row r="79" spans="1:15" s="124" customFormat="1" ht="13.8">
      <c r="A79" s="4">
        <f t="shared" si="4"/>
        <v>78</v>
      </c>
      <c r="B79" s="11" t="s">
        <v>44</v>
      </c>
      <c r="C79" s="6" t="s">
        <v>104</v>
      </c>
      <c r="D79" s="6" t="s">
        <v>110</v>
      </c>
      <c r="E79" s="6" t="s">
        <v>111</v>
      </c>
      <c r="F79" s="6" t="s">
        <v>112</v>
      </c>
      <c r="G79" s="6" t="s">
        <v>20</v>
      </c>
      <c r="H79" s="4">
        <v>2020</v>
      </c>
      <c r="I79" s="7">
        <v>1</v>
      </c>
      <c r="J79" s="8"/>
      <c r="K79" s="6"/>
      <c r="L79" s="9"/>
      <c r="M79" s="6" t="s">
        <v>22</v>
      </c>
      <c r="N79" s="6">
        <f t="shared" si="5"/>
        <v>0</v>
      </c>
      <c r="O79" s="10" t="s">
        <v>23</v>
      </c>
    </row>
    <row r="80" spans="1:15" ht="18" customHeight="1">
      <c r="A80" s="4">
        <f t="shared" si="4"/>
        <v>79</v>
      </c>
      <c r="B80" s="11" t="s">
        <v>178</v>
      </c>
      <c r="C80" s="6" t="s">
        <v>199</v>
      </c>
      <c r="D80" s="6" t="s">
        <v>199</v>
      </c>
      <c r="E80" s="6" t="s">
        <v>207</v>
      </c>
      <c r="F80" s="6" t="s">
        <v>201</v>
      </c>
      <c r="G80" s="6" t="s">
        <v>20</v>
      </c>
      <c r="H80" s="4">
        <v>2016</v>
      </c>
      <c r="I80" s="7">
        <v>1</v>
      </c>
      <c r="J80" s="8">
        <v>630</v>
      </c>
      <c r="K80" s="8" t="s">
        <v>50</v>
      </c>
      <c r="L80" s="9"/>
      <c r="M80" s="6" t="s">
        <v>22</v>
      </c>
      <c r="N80" s="6">
        <f t="shared" si="5"/>
        <v>0</v>
      </c>
    </row>
    <row r="81" spans="1:15" ht="13.8">
      <c r="A81" s="4">
        <f t="shared" si="4"/>
        <v>80</v>
      </c>
      <c r="B81" s="11" t="s">
        <v>178</v>
      </c>
      <c r="C81" s="6" t="s">
        <v>179</v>
      </c>
      <c r="D81" s="6" t="s">
        <v>179</v>
      </c>
      <c r="E81" s="6" t="s">
        <v>180</v>
      </c>
      <c r="F81" s="6" t="s">
        <v>181</v>
      </c>
      <c r="G81" s="6" t="s">
        <v>182</v>
      </c>
      <c r="H81" s="4">
        <v>2022</v>
      </c>
      <c r="I81" s="7">
        <v>1</v>
      </c>
      <c r="J81" s="8"/>
      <c r="K81" s="8"/>
      <c r="L81" s="9"/>
      <c r="M81" s="6" t="s">
        <v>22</v>
      </c>
      <c r="N81" s="6">
        <f t="shared" si="5"/>
        <v>0</v>
      </c>
      <c r="O81" s="10" t="s">
        <v>23</v>
      </c>
    </row>
    <row r="82" spans="1:15" ht="13.8">
      <c r="A82" s="4">
        <f t="shared" si="4"/>
        <v>81</v>
      </c>
      <c r="B82" s="11" t="s">
        <v>44</v>
      </c>
      <c r="C82" s="6" t="s">
        <v>45</v>
      </c>
      <c r="D82" s="6" t="s">
        <v>61</v>
      </c>
      <c r="E82" s="6" t="s">
        <v>337</v>
      </c>
      <c r="F82" s="6" t="s">
        <v>338</v>
      </c>
      <c r="G82" s="6" t="s">
        <v>75</v>
      </c>
      <c r="H82" s="4">
        <v>1994</v>
      </c>
      <c r="I82" s="7">
        <v>1</v>
      </c>
      <c r="J82" s="8">
        <v>650</v>
      </c>
      <c r="K82" s="8" t="s">
        <v>144</v>
      </c>
      <c r="L82" s="9"/>
      <c r="M82" s="6" t="s">
        <v>22</v>
      </c>
      <c r="N82" s="6">
        <f t="shared" si="5"/>
        <v>0</v>
      </c>
      <c r="O82" s="10" t="s">
        <v>23</v>
      </c>
    </row>
    <row r="83" spans="1:15" ht="13.8">
      <c r="A83" s="4">
        <f t="shared" si="4"/>
        <v>82</v>
      </c>
      <c r="B83" s="11" t="s">
        <v>44</v>
      </c>
      <c r="C83" s="6" t="s">
        <v>45</v>
      </c>
      <c r="D83" s="6" t="s">
        <v>61</v>
      </c>
      <c r="E83" s="6" t="s">
        <v>62</v>
      </c>
      <c r="F83" s="6" t="s">
        <v>22</v>
      </c>
      <c r="G83" s="6" t="s">
        <v>20</v>
      </c>
      <c r="H83" s="4">
        <v>2014</v>
      </c>
      <c r="I83" s="7">
        <v>1</v>
      </c>
      <c r="J83" s="8"/>
      <c r="K83" s="8" t="s">
        <v>48</v>
      </c>
      <c r="L83" s="9"/>
      <c r="M83" s="6" t="s">
        <v>22</v>
      </c>
      <c r="N83" s="6">
        <f t="shared" si="5"/>
        <v>0</v>
      </c>
      <c r="O83" s="10" t="s">
        <v>23</v>
      </c>
    </row>
    <row r="84" spans="1:15" ht="13.8">
      <c r="A84" s="4">
        <f t="shared" si="4"/>
        <v>83</v>
      </c>
      <c r="B84" s="11" t="s">
        <v>178</v>
      </c>
      <c r="C84" s="6" t="s">
        <v>190</v>
      </c>
      <c r="D84" s="6" t="s">
        <v>190</v>
      </c>
      <c r="E84" s="6" t="s">
        <v>193</v>
      </c>
      <c r="F84" s="6" t="s">
        <v>194</v>
      </c>
      <c r="G84" s="6" t="s">
        <v>20</v>
      </c>
      <c r="H84" s="4">
        <v>2016</v>
      </c>
      <c r="I84" s="7">
        <v>1</v>
      </c>
      <c r="J84" s="8">
        <v>550</v>
      </c>
      <c r="K84" s="8" t="s">
        <v>50</v>
      </c>
      <c r="L84" s="9"/>
      <c r="M84" s="6" t="s">
        <v>22</v>
      </c>
      <c r="N84" s="6">
        <f t="shared" si="5"/>
        <v>0</v>
      </c>
    </row>
    <row r="85" spans="1:15" ht="13.8">
      <c r="A85" s="4">
        <f t="shared" si="4"/>
        <v>84</v>
      </c>
      <c r="B85" s="11" t="s">
        <v>44</v>
      </c>
      <c r="C85" s="6" t="s">
        <v>86</v>
      </c>
      <c r="D85" s="6" t="s">
        <v>94</v>
      </c>
      <c r="E85" s="6" t="s">
        <v>95</v>
      </c>
      <c r="F85" s="6" t="s">
        <v>96</v>
      </c>
      <c r="G85" s="6" t="s">
        <v>75</v>
      </c>
      <c r="H85" s="4">
        <v>2019</v>
      </c>
      <c r="I85" s="7">
        <v>1</v>
      </c>
      <c r="J85" s="8">
        <v>666</v>
      </c>
      <c r="K85" s="8" t="s">
        <v>27</v>
      </c>
      <c r="L85" s="9"/>
      <c r="M85" s="6" t="s">
        <v>22</v>
      </c>
      <c r="N85" s="6">
        <f t="shared" si="5"/>
        <v>0</v>
      </c>
      <c r="O85" s="10" t="s">
        <v>23</v>
      </c>
    </row>
    <row r="86" spans="1:15" ht="13.8">
      <c r="A86" s="4">
        <f t="shared" si="4"/>
        <v>85</v>
      </c>
      <c r="B86" s="11" t="s">
        <v>221</v>
      </c>
      <c r="C86" s="6" t="s">
        <v>222</v>
      </c>
      <c r="D86" s="6" t="s">
        <v>222</v>
      </c>
      <c r="E86" s="6" t="s">
        <v>228</v>
      </c>
      <c r="F86" s="6" t="s">
        <v>229</v>
      </c>
      <c r="G86" s="6" t="s">
        <v>20</v>
      </c>
      <c r="H86" s="4">
        <v>2022</v>
      </c>
      <c r="I86" s="7">
        <v>1</v>
      </c>
      <c r="J86" s="8">
        <v>500</v>
      </c>
      <c r="K86" s="8" t="s">
        <v>227</v>
      </c>
      <c r="L86" s="9"/>
      <c r="M86" s="6"/>
      <c r="N86" s="8">
        <f t="shared" si="5"/>
        <v>0</v>
      </c>
    </row>
    <row r="87" spans="1:15" ht="13.8">
      <c r="A87" s="12">
        <f t="shared" si="4"/>
        <v>86</v>
      </c>
      <c r="B87" s="13" t="s">
        <v>44</v>
      </c>
      <c r="C87" s="14" t="s">
        <v>71</v>
      </c>
      <c r="D87" s="14" t="s">
        <v>76</v>
      </c>
      <c r="E87" s="14" t="s">
        <v>77</v>
      </c>
      <c r="F87" s="14" t="s">
        <v>78</v>
      </c>
      <c r="G87" s="14" t="s">
        <v>20</v>
      </c>
      <c r="H87" s="15">
        <v>2017</v>
      </c>
      <c r="I87" s="16">
        <v>1</v>
      </c>
      <c r="J87" s="17"/>
      <c r="K87" s="17"/>
      <c r="L87" s="18"/>
      <c r="M87" s="14" t="s">
        <v>22</v>
      </c>
      <c r="N87" s="14">
        <f t="shared" si="5"/>
        <v>0</v>
      </c>
      <c r="O87" s="19" t="s">
        <v>23</v>
      </c>
    </row>
    <row r="88" spans="1:15" ht="13.8">
      <c r="A88" s="4">
        <f t="shared" si="4"/>
        <v>87</v>
      </c>
      <c r="B88" s="11" t="s">
        <v>221</v>
      </c>
      <c r="C88" s="6" t="s">
        <v>222</v>
      </c>
      <c r="D88" s="6" t="s">
        <v>223</v>
      </c>
      <c r="E88" s="6" t="s">
        <v>224</v>
      </c>
      <c r="F88" s="6" t="s">
        <v>225</v>
      </c>
      <c r="G88" s="6" t="s">
        <v>20</v>
      </c>
      <c r="H88" s="4">
        <v>2022</v>
      </c>
      <c r="I88" s="7">
        <v>1</v>
      </c>
      <c r="J88" s="8">
        <v>780</v>
      </c>
      <c r="K88" s="8" t="s">
        <v>130</v>
      </c>
      <c r="L88" s="9"/>
      <c r="M88" s="6" t="s">
        <v>22</v>
      </c>
      <c r="N88" s="6">
        <f t="shared" si="5"/>
        <v>0</v>
      </c>
    </row>
    <row r="89" spans="1:15" ht="13.8">
      <c r="A89" s="4">
        <f t="shared" si="4"/>
        <v>88</v>
      </c>
      <c r="B89" s="11" t="s">
        <v>44</v>
      </c>
      <c r="C89" s="6" t="s">
        <v>104</v>
      </c>
      <c r="D89" s="6" t="s">
        <v>110</v>
      </c>
      <c r="E89" s="6" t="s">
        <v>119</v>
      </c>
      <c r="F89" s="6" t="s">
        <v>110</v>
      </c>
      <c r="G89" s="6" t="s">
        <v>20</v>
      </c>
      <c r="H89" s="4">
        <v>2019</v>
      </c>
      <c r="I89" s="7">
        <v>1</v>
      </c>
      <c r="J89" s="8">
        <v>765</v>
      </c>
      <c r="K89" s="8" t="s">
        <v>120</v>
      </c>
      <c r="L89" s="9"/>
      <c r="M89" s="6" t="s">
        <v>22</v>
      </c>
      <c r="N89" s="6">
        <f t="shared" si="5"/>
        <v>0</v>
      </c>
    </row>
    <row r="90" spans="1:15" s="28" customFormat="1" ht="13.8">
      <c r="A90" s="4">
        <f t="shared" si="4"/>
        <v>89</v>
      </c>
      <c r="B90" s="11" t="s">
        <v>178</v>
      </c>
      <c r="C90" s="6" t="s">
        <v>199</v>
      </c>
      <c r="D90" s="6" t="s">
        <v>199</v>
      </c>
      <c r="E90" s="6" t="s">
        <v>202</v>
      </c>
      <c r="F90" s="6" t="s">
        <v>201</v>
      </c>
      <c r="G90" s="6" t="s">
        <v>20</v>
      </c>
      <c r="H90" s="4">
        <v>2015</v>
      </c>
      <c r="I90" s="7">
        <v>1</v>
      </c>
      <c r="J90" s="8">
        <v>457</v>
      </c>
      <c r="K90" s="8" t="s">
        <v>21</v>
      </c>
      <c r="L90" s="9"/>
      <c r="M90" s="6" t="s">
        <v>22</v>
      </c>
      <c r="N90" s="6">
        <f t="shared" si="5"/>
        <v>0</v>
      </c>
      <c r="O90" s="10"/>
    </row>
    <row r="91" spans="1:15" ht="13.8">
      <c r="A91" s="4">
        <f t="shared" si="4"/>
        <v>90</v>
      </c>
      <c r="B91" s="11" t="s">
        <v>16</v>
      </c>
      <c r="C91" s="6" t="s">
        <v>24</v>
      </c>
      <c r="D91" s="6" t="s">
        <v>24</v>
      </c>
      <c r="E91" s="6" t="s">
        <v>25</v>
      </c>
      <c r="F91" s="6" t="s">
        <v>26</v>
      </c>
      <c r="G91" s="6" t="s">
        <v>20</v>
      </c>
      <c r="H91" s="4">
        <v>2018</v>
      </c>
      <c r="I91" s="7">
        <v>1</v>
      </c>
      <c r="J91" s="8">
        <v>620</v>
      </c>
      <c r="K91" s="8" t="s">
        <v>27</v>
      </c>
      <c r="L91" s="9"/>
      <c r="M91" s="6" t="s">
        <v>22</v>
      </c>
      <c r="N91" s="6">
        <f t="shared" si="5"/>
        <v>0</v>
      </c>
    </row>
    <row r="92" spans="1:15" ht="13.8">
      <c r="A92" s="4">
        <f t="shared" si="4"/>
        <v>91</v>
      </c>
      <c r="B92" s="11" t="s">
        <v>221</v>
      </c>
      <c r="C92" s="6" t="s">
        <v>237</v>
      </c>
      <c r="D92" s="6" t="s">
        <v>237</v>
      </c>
      <c r="E92" s="6" t="s">
        <v>238</v>
      </c>
      <c r="F92" s="6" t="s">
        <v>239</v>
      </c>
      <c r="G92" s="6" t="s">
        <v>20</v>
      </c>
      <c r="H92" s="4">
        <v>2020</v>
      </c>
      <c r="I92" s="7">
        <v>1</v>
      </c>
      <c r="J92" s="8"/>
      <c r="K92" s="8"/>
      <c r="L92" s="9"/>
      <c r="M92" s="6" t="s">
        <v>22</v>
      </c>
      <c r="N92" s="6">
        <f t="shared" si="5"/>
        <v>0</v>
      </c>
    </row>
    <row r="93" spans="1:15" ht="13.8">
      <c r="A93" s="4">
        <f t="shared" si="4"/>
        <v>92</v>
      </c>
      <c r="B93" s="11" t="s">
        <v>178</v>
      </c>
      <c r="C93" s="6" t="s">
        <v>199</v>
      </c>
      <c r="D93" s="6" t="s">
        <v>199</v>
      </c>
      <c r="E93" s="6" t="s">
        <v>210</v>
      </c>
      <c r="F93" s="6" t="s">
        <v>212</v>
      </c>
      <c r="G93" s="6" t="s">
        <v>20</v>
      </c>
      <c r="H93" s="4">
        <v>2018</v>
      </c>
      <c r="I93" s="7">
        <v>1</v>
      </c>
      <c r="J93" s="8">
        <v>439</v>
      </c>
      <c r="K93" s="8" t="s">
        <v>50</v>
      </c>
      <c r="L93" s="9"/>
      <c r="M93" s="6" t="s">
        <v>22</v>
      </c>
      <c r="N93" s="6">
        <f t="shared" si="5"/>
        <v>0</v>
      </c>
    </row>
    <row r="94" spans="1:15" ht="13.8">
      <c r="A94" s="4">
        <f t="shared" si="4"/>
        <v>93</v>
      </c>
      <c r="B94" s="11" t="s">
        <v>173</v>
      </c>
      <c r="C94" s="6" t="s">
        <v>174</v>
      </c>
      <c r="D94" s="6" t="s">
        <v>174</v>
      </c>
      <c r="E94" s="6" t="s">
        <v>175</v>
      </c>
      <c r="F94" s="6" t="s">
        <v>176</v>
      </c>
      <c r="G94" s="6" t="s">
        <v>177</v>
      </c>
      <c r="H94" s="4">
        <v>2007</v>
      </c>
      <c r="I94" s="7">
        <v>1</v>
      </c>
      <c r="J94" s="8"/>
      <c r="K94" s="8"/>
      <c r="L94" s="9"/>
      <c r="M94" s="6" t="s">
        <v>22</v>
      </c>
      <c r="N94" s="6">
        <f t="shared" si="5"/>
        <v>0</v>
      </c>
      <c r="O94" s="10" t="s">
        <v>23</v>
      </c>
    </row>
    <row r="95" spans="1:15" ht="13.8">
      <c r="A95" s="4">
        <f t="shared" si="4"/>
        <v>94</v>
      </c>
      <c r="B95" s="11" t="s">
        <v>221</v>
      </c>
      <c r="C95" s="6" t="s">
        <v>234</v>
      </c>
      <c r="D95" s="6" t="s">
        <v>234</v>
      </c>
      <c r="E95" s="6" t="s">
        <v>240</v>
      </c>
      <c r="F95" s="6" t="s">
        <v>241</v>
      </c>
      <c r="G95" s="6" t="s">
        <v>20</v>
      </c>
      <c r="H95" s="4">
        <v>2019</v>
      </c>
      <c r="I95" s="7">
        <v>1</v>
      </c>
      <c r="J95" s="8">
        <v>478</v>
      </c>
      <c r="K95" s="8" t="s">
        <v>165</v>
      </c>
      <c r="L95" s="9"/>
      <c r="M95" s="6" t="s">
        <v>22</v>
      </c>
      <c r="N95" s="6">
        <f t="shared" si="5"/>
        <v>0</v>
      </c>
    </row>
    <row r="96" spans="1:15" s="28" customFormat="1" ht="13.8">
      <c r="A96" s="4">
        <f t="shared" si="4"/>
        <v>95</v>
      </c>
      <c r="B96" s="11" t="s">
        <v>178</v>
      </c>
      <c r="C96" s="6" t="s">
        <v>199</v>
      </c>
      <c r="D96" s="6" t="s">
        <v>199</v>
      </c>
      <c r="E96" s="6" t="s">
        <v>203</v>
      </c>
      <c r="F96" s="6" t="s">
        <v>201</v>
      </c>
      <c r="G96" s="6" t="s">
        <v>20</v>
      </c>
      <c r="H96" s="4">
        <v>2012</v>
      </c>
      <c r="I96" s="7">
        <v>1</v>
      </c>
      <c r="J96" s="8">
        <v>550</v>
      </c>
      <c r="K96" s="8" t="s">
        <v>50</v>
      </c>
      <c r="L96" s="9"/>
      <c r="M96" s="6" t="s">
        <v>22</v>
      </c>
      <c r="N96" s="6">
        <f t="shared" si="5"/>
        <v>0</v>
      </c>
      <c r="O96" s="10"/>
    </row>
    <row r="97" spans="1:29" ht="13.8">
      <c r="A97" s="4">
        <f t="shared" si="4"/>
        <v>96</v>
      </c>
      <c r="B97" s="11" t="s">
        <v>44</v>
      </c>
      <c r="C97" s="6" t="s">
        <v>45</v>
      </c>
      <c r="D97" s="6" t="s">
        <v>46</v>
      </c>
      <c r="E97" s="6" t="s">
        <v>47</v>
      </c>
      <c r="F97" s="6" t="s">
        <v>22</v>
      </c>
      <c r="G97" s="6" t="s">
        <v>20</v>
      </c>
      <c r="H97" s="4">
        <v>2016</v>
      </c>
      <c r="I97" s="7">
        <v>1</v>
      </c>
      <c r="J97" s="8"/>
      <c r="K97" s="8" t="s">
        <v>48</v>
      </c>
      <c r="L97" s="9"/>
      <c r="M97" s="6" t="s">
        <v>22</v>
      </c>
      <c r="N97" s="6">
        <f t="shared" si="5"/>
        <v>0</v>
      </c>
      <c r="O97" s="10" t="s">
        <v>23</v>
      </c>
    </row>
    <row r="98" spans="1:29" ht="13.8">
      <c r="A98" s="4">
        <f t="shared" ref="A98:A115" si="6">ROW()-1</f>
        <v>97</v>
      </c>
      <c r="B98" s="11" t="s">
        <v>178</v>
      </c>
      <c r="C98" s="6" t="s">
        <v>199</v>
      </c>
      <c r="D98" s="6" t="s">
        <v>199</v>
      </c>
      <c r="E98" s="6" t="s">
        <v>204</v>
      </c>
      <c r="F98" s="6" t="s">
        <v>205</v>
      </c>
      <c r="G98" s="6" t="s">
        <v>20</v>
      </c>
      <c r="H98" s="4">
        <v>2016</v>
      </c>
      <c r="I98" s="7">
        <v>1</v>
      </c>
      <c r="J98" s="8"/>
      <c r="K98" s="6" t="s">
        <v>206</v>
      </c>
      <c r="L98" s="9"/>
      <c r="M98" s="6" t="s">
        <v>22</v>
      </c>
      <c r="N98" s="6">
        <f t="shared" ref="N98:N115" si="7">L98*I98</f>
        <v>0</v>
      </c>
    </row>
    <row r="99" spans="1:29" ht="13.8">
      <c r="A99" s="12">
        <f t="shared" si="6"/>
        <v>98</v>
      </c>
      <c r="B99" s="13" t="s">
        <v>44</v>
      </c>
      <c r="C99" s="14" t="s">
        <v>159</v>
      </c>
      <c r="D99" s="14" t="s">
        <v>160</v>
      </c>
      <c r="E99" s="14" t="s">
        <v>161</v>
      </c>
      <c r="F99" s="14" t="s">
        <v>160</v>
      </c>
      <c r="G99" s="14" t="s">
        <v>20</v>
      </c>
      <c r="H99" s="15">
        <v>2017</v>
      </c>
      <c r="I99" s="16">
        <v>1</v>
      </c>
      <c r="J99" s="17"/>
      <c r="K99" s="17" t="s">
        <v>21</v>
      </c>
      <c r="L99" s="18"/>
      <c r="M99" s="14" t="s">
        <v>22</v>
      </c>
      <c r="N99" s="14">
        <f t="shared" si="7"/>
        <v>0</v>
      </c>
      <c r="O99" s="19" t="s">
        <v>23</v>
      </c>
    </row>
    <row r="100" spans="1:29" ht="13.8">
      <c r="A100" s="4">
        <f t="shared" si="6"/>
        <v>99</v>
      </c>
      <c r="B100" s="11" t="s">
        <v>221</v>
      </c>
      <c r="C100" s="6" t="s">
        <v>234</v>
      </c>
      <c r="D100" s="6" t="s">
        <v>234</v>
      </c>
      <c r="E100" s="6" t="s">
        <v>235</v>
      </c>
      <c r="F100" s="6" t="s">
        <v>236</v>
      </c>
      <c r="G100" s="6" t="s">
        <v>20</v>
      </c>
      <c r="H100" s="4">
        <v>2019</v>
      </c>
      <c r="I100" s="7">
        <v>1</v>
      </c>
      <c r="J100" s="8">
        <v>400</v>
      </c>
      <c r="K100" s="8" t="s">
        <v>227</v>
      </c>
      <c r="L100" s="9"/>
      <c r="M100" s="6"/>
      <c r="N100" s="8">
        <f t="shared" si="7"/>
        <v>0</v>
      </c>
    </row>
    <row r="101" spans="1:29" ht="13.8">
      <c r="A101" s="4">
        <f t="shared" si="6"/>
        <v>100</v>
      </c>
      <c r="B101" s="11" t="s">
        <v>44</v>
      </c>
      <c r="C101" s="6" t="s">
        <v>159</v>
      </c>
      <c r="D101" s="6" t="s">
        <v>160</v>
      </c>
      <c r="E101" s="6" t="s">
        <v>163</v>
      </c>
      <c r="F101" s="6" t="s">
        <v>164</v>
      </c>
      <c r="G101" s="6" t="s">
        <v>20</v>
      </c>
      <c r="H101" s="4">
        <v>2018</v>
      </c>
      <c r="I101" s="7">
        <v>1</v>
      </c>
      <c r="J101" s="8">
        <v>549</v>
      </c>
      <c r="K101" s="8" t="s">
        <v>165</v>
      </c>
      <c r="L101" s="9"/>
      <c r="M101" s="6" t="s">
        <v>22</v>
      </c>
      <c r="N101" s="6">
        <f t="shared" si="7"/>
        <v>0</v>
      </c>
    </row>
    <row r="102" spans="1:29" ht="13.8">
      <c r="A102" s="4">
        <f t="shared" si="6"/>
        <v>101</v>
      </c>
      <c r="B102" s="11" t="s">
        <v>221</v>
      </c>
      <c r="C102" s="6" t="s">
        <v>230</v>
      </c>
      <c r="D102" s="6" t="s">
        <v>231</v>
      </c>
      <c r="E102" s="6" t="s">
        <v>232</v>
      </c>
      <c r="F102" s="6" t="s">
        <v>233</v>
      </c>
      <c r="G102" s="6" t="s">
        <v>20</v>
      </c>
      <c r="H102" s="4">
        <v>2015</v>
      </c>
      <c r="I102" s="7">
        <v>1</v>
      </c>
      <c r="J102" s="8">
        <v>500</v>
      </c>
      <c r="K102" s="8" t="s">
        <v>227</v>
      </c>
      <c r="L102" s="9"/>
      <c r="M102" s="6"/>
      <c r="N102" s="8">
        <f t="shared" si="7"/>
        <v>0</v>
      </c>
    </row>
    <row r="103" spans="1:29" s="27" customFormat="1" ht="13.8">
      <c r="A103" s="4">
        <f t="shared" si="6"/>
        <v>102</v>
      </c>
      <c r="B103" s="13" t="s">
        <v>44</v>
      </c>
      <c r="C103" s="14" t="s">
        <v>159</v>
      </c>
      <c r="D103" s="14" t="s">
        <v>160</v>
      </c>
      <c r="E103" s="14" t="s">
        <v>162</v>
      </c>
      <c r="F103" s="14" t="s">
        <v>160</v>
      </c>
      <c r="G103" s="14" t="s">
        <v>20</v>
      </c>
      <c r="H103" s="15">
        <v>2016</v>
      </c>
      <c r="I103" s="16">
        <v>1</v>
      </c>
      <c r="J103" s="17"/>
      <c r="K103" s="17" t="s">
        <v>57</v>
      </c>
      <c r="L103" s="18"/>
      <c r="M103" s="14" t="s">
        <v>22</v>
      </c>
      <c r="N103" s="14">
        <f t="shared" si="7"/>
        <v>0</v>
      </c>
      <c r="O103" s="19"/>
    </row>
    <row r="104" spans="1:29" ht="13.8">
      <c r="A104" s="4">
        <f t="shared" si="6"/>
        <v>103</v>
      </c>
      <c r="B104" s="11" t="s">
        <v>168</v>
      </c>
      <c r="C104" s="6" t="s">
        <v>169</v>
      </c>
      <c r="D104" s="6" t="s">
        <v>169</v>
      </c>
      <c r="E104" s="6" t="s">
        <v>170</v>
      </c>
      <c r="F104" s="6" t="s">
        <v>171</v>
      </c>
      <c r="G104" s="6" t="s">
        <v>20</v>
      </c>
      <c r="H104" s="4">
        <v>2018</v>
      </c>
      <c r="I104" s="7">
        <v>1</v>
      </c>
      <c r="J104" s="8"/>
      <c r="K104" s="8"/>
      <c r="L104" s="9"/>
      <c r="M104" s="6" t="s">
        <v>22</v>
      </c>
      <c r="N104" s="6">
        <f t="shared" si="7"/>
        <v>0</v>
      </c>
      <c r="O104" s="10" t="s">
        <v>23</v>
      </c>
    </row>
    <row r="105" spans="1:29" ht="18" customHeight="1">
      <c r="A105" s="4">
        <f t="shared" si="6"/>
        <v>104</v>
      </c>
      <c r="B105" s="11" t="s">
        <v>168</v>
      </c>
      <c r="C105" s="6" t="s">
        <v>169</v>
      </c>
      <c r="D105" s="6" t="s">
        <v>169</v>
      </c>
      <c r="E105" s="6" t="s">
        <v>170</v>
      </c>
      <c r="F105" s="6" t="s">
        <v>172</v>
      </c>
      <c r="G105" s="6" t="s">
        <v>20</v>
      </c>
      <c r="H105" s="4">
        <v>2018</v>
      </c>
      <c r="I105" s="7">
        <v>1</v>
      </c>
      <c r="J105" s="8"/>
      <c r="K105" s="8"/>
      <c r="L105" s="9"/>
      <c r="M105" s="6" t="s">
        <v>22</v>
      </c>
      <c r="N105" s="6">
        <f t="shared" si="7"/>
        <v>0</v>
      </c>
      <c r="O105" s="10" t="s">
        <v>23</v>
      </c>
    </row>
    <row r="106" spans="1:29" ht="13.8">
      <c r="A106" s="4">
        <f t="shared" si="6"/>
        <v>105</v>
      </c>
      <c r="B106" s="11" t="s">
        <v>221</v>
      </c>
      <c r="C106" s="6" t="s">
        <v>222</v>
      </c>
      <c r="D106" s="6" t="s">
        <v>223</v>
      </c>
      <c r="E106" s="6" t="s">
        <v>224</v>
      </c>
      <c r="F106" s="6" t="s">
        <v>226</v>
      </c>
      <c r="G106" s="6" t="s">
        <v>20</v>
      </c>
      <c r="H106" s="4">
        <v>2022</v>
      </c>
      <c r="I106" s="7">
        <v>1</v>
      </c>
      <c r="J106" s="8">
        <v>361</v>
      </c>
      <c r="K106" s="8" t="s">
        <v>227</v>
      </c>
      <c r="L106" s="9"/>
      <c r="M106" s="6" t="s">
        <v>22</v>
      </c>
      <c r="N106" s="6">
        <f t="shared" si="7"/>
        <v>0</v>
      </c>
    </row>
    <row r="107" spans="1:29" s="28" customFormat="1" ht="13.8">
      <c r="A107" s="4">
        <f t="shared" si="6"/>
        <v>106</v>
      </c>
      <c r="B107" s="11" t="s">
        <v>44</v>
      </c>
      <c r="C107" s="6" t="s">
        <v>104</v>
      </c>
      <c r="D107" s="6" t="s">
        <v>140</v>
      </c>
      <c r="E107" s="6" t="s">
        <v>147</v>
      </c>
      <c r="F107" s="6" t="s">
        <v>148</v>
      </c>
      <c r="G107" s="6" t="s">
        <v>20</v>
      </c>
      <c r="H107" s="4">
        <v>2015</v>
      </c>
      <c r="I107" s="7">
        <v>1</v>
      </c>
      <c r="J107" s="8">
        <v>568</v>
      </c>
      <c r="K107" s="8" t="s">
        <v>39</v>
      </c>
      <c r="L107" s="9"/>
      <c r="M107" s="6" t="s">
        <v>22</v>
      </c>
      <c r="N107" s="6">
        <f t="shared" si="7"/>
        <v>0</v>
      </c>
      <c r="O107" s="10" t="s">
        <v>23</v>
      </c>
    </row>
    <row r="108" spans="1:29" s="125" customFormat="1" ht="19.05" customHeight="1">
      <c r="A108" s="12">
        <f t="shared" si="6"/>
        <v>107</v>
      </c>
      <c r="B108" s="13" t="s">
        <v>16</v>
      </c>
      <c r="C108" s="14" t="s">
        <v>31</v>
      </c>
      <c r="D108" s="14" t="s">
        <v>31</v>
      </c>
      <c r="E108" s="14" t="s">
        <v>32</v>
      </c>
      <c r="F108" s="14" t="s">
        <v>33</v>
      </c>
      <c r="G108" s="14" t="s">
        <v>20</v>
      </c>
      <c r="H108" s="15">
        <v>2016</v>
      </c>
      <c r="I108" s="16">
        <v>1</v>
      </c>
      <c r="J108" s="17">
        <v>415</v>
      </c>
      <c r="K108" s="17" t="s">
        <v>34</v>
      </c>
      <c r="L108" s="18"/>
      <c r="M108" s="14" t="s">
        <v>22</v>
      </c>
      <c r="N108" s="14">
        <f t="shared" si="7"/>
        <v>0</v>
      </c>
      <c r="O108" s="19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3.8">
      <c r="A109" s="4">
        <f t="shared" si="6"/>
        <v>108</v>
      </c>
      <c r="B109" s="11" t="s">
        <v>16</v>
      </c>
      <c r="C109" s="6" t="s">
        <v>31</v>
      </c>
      <c r="D109" s="6" t="s">
        <v>31</v>
      </c>
      <c r="E109" s="6" t="s">
        <v>32</v>
      </c>
      <c r="F109" s="6" t="s">
        <v>35</v>
      </c>
      <c r="G109" s="6" t="s">
        <v>20</v>
      </c>
      <c r="H109" s="4">
        <v>2016</v>
      </c>
      <c r="I109" s="7">
        <v>1</v>
      </c>
      <c r="J109" s="8">
        <v>485</v>
      </c>
      <c r="K109" s="8" t="s">
        <v>34</v>
      </c>
      <c r="L109" s="9"/>
      <c r="M109" s="6" t="s">
        <v>22</v>
      </c>
      <c r="N109" s="6">
        <f t="shared" si="7"/>
        <v>0</v>
      </c>
    </row>
    <row r="110" spans="1:29" ht="13.8">
      <c r="A110" s="4">
        <f t="shared" si="6"/>
        <v>109</v>
      </c>
      <c r="B110" s="11" t="s">
        <v>44</v>
      </c>
      <c r="C110" s="6" t="s">
        <v>104</v>
      </c>
      <c r="D110" s="6" t="s">
        <v>110</v>
      </c>
      <c r="E110" s="6" t="s">
        <v>116</v>
      </c>
      <c r="F110" s="6" t="s">
        <v>117</v>
      </c>
      <c r="G110" s="6" t="s">
        <v>20</v>
      </c>
      <c r="H110" s="4">
        <v>2021</v>
      </c>
      <c r="I110" s="7">
        <v>1</v>
      </c>
      <c r="J110" s="8">
        <v>610</v>
      </c>
      <c r="K110" s="8" t="s">
        <v>118</v>
      </c>
      <c r="L110" s="9"/>
      <c r="M110" s="6" t="s">
        <v>22</v>
      </c>
      <c r="N110" s="6">
        <f t="shared" si="7"/>
        <v>0</v>
      </c>
    </row>
    <row r="111" spans="1:29" ht="13.8">
      <c r="A111" s="4">
        <f t="shared" si="6"/>
        <v>110</v>
      </c>
      <c r="B111" s="11" t="s">
        <v>44</v>
      </c>
      <c r="C111" s="6" t="s">
        <v>104</v>
      </c>
      <c r="D111" s="6" t="s">
        <v>110</v>
      </c>
      <c r="E111" s="6" t="s">
        <v>114</v>
      </c>
      <c r="F111" s="6" t="s">
        <v>115</v>
      </c>
      <c r="G111" s="6" t="s">
        <v>20</v>
      </c>
      <c r="H111" s="4">
        <v>2020</v>
      </c>
      <c r="I111" s="7">
        <v>1</v>
      </c>
      <c r="J111" s="8">
        <v>445</v>
      </c>
      <c r="K111" s="8" t="s">
        <v>21</v>
      </c>
      <c r="L111" s="9"/>
      <c r="M111" s="6" t="s">
        <v>22</v>
      </c>
      <c r="N111" s="6">
        <f t="shared" si="7"/>
        <v>0</v>
      </c>
    </row>
    <row r="112" spans="1:29" ht="13.8">
      <c r="A112" s="4">
        <f t="shared" si="6"/>
        <v>111</v>
      </c>
      <c r="B112" s="11" t="s">
        <v>178</v>
      </c>
      <c r="C112" s="6" t="s">
        <v>184</v>
      </c>
      <c r="D112" s="6" t="s">
        <v>184</v>
      </c>
      <c r="E112" s="6" t="s">
        <v>188</v>
      </c>
      <c r="F112" s="6" t="s">
        <v>189</v>
      </c>
      <c r="G112" s="6" t="s">
        <v>20</v>
      </c>
      <c r="H112" s="4">
        <v>2017</v>
      </c>
      <c r="I112" s="7">
        <v>1</v>
      </c>
      <c r="J112" s="8"/>
      <c r="K112" s="8"/>
      <c r="L112" s="9"/>
      <c r="M112" s="6" t="s">
        <v>22</v>
      </c>
      <c r="N112" s="6">
        <f t="shared" si="7"/>
        <v>0</v>
      </c>
    </row>
    <row r="113" spans="1:15" ht="13.8">
      <c r="A113" s="4">
        <f t="shared" si="6"/>
        <v>112</v>
      </c>
      <c r="B113" s="11" t="s">
        <v>178</v>
      </c>
      <c r="C113" s="6" t="s">
        <v>215</v>
      </c>
      <c r="D113" s="6" t="s">
        <v>215</v>
      </c>
      <c r="E113" s="6" t="s">
        <v>216</v>
      </c>
      <c r="F113" s="6" t="s">
        <v>217</v>
      </c>
      <c r="G113" s="6" t="s">
        <v>20</v>
      </c>
      <c r="H113" s="4">
        <v>2016</v>
      </c>
      <c r="I113" s="7">
        <v>1</v>
      </c>
      <c r="J113" s="8">
        <v>310</v>
      </c>
      <c r="K113" s="8" t="s">
        <v>27</v>
      </c>
      <c r="L113" s="9"/>
      <c r="M113" s="6" t="s">
        <v>22</v>
      </c>
      <c r="N113" s="6">
        <f t="shared" si="7"/>
        <v>0</v>
      </c>
      <c r="O113" s="10" t="s">
        <v>23</v>
      </c>
    </row>
    <row r="114" spans="1:15" ht="13.8">
      <c r="A114" s="4">
        <f t="shared" si="6"/>
        <v>113</v>
      </c>
      <c r="B114" s="11" t="s">
        <v>44</v>
      </c>
      <c r="C114" s="6" t="s">
        <v>104</v>
      </c>
      <c r="D114" s="6" t="s">
        <v>154</v>
      </c>
      <c r="E114" s="6" t="s">
        <v>156</v>
      </c>
      <c r="F114" s="6" t="s">
        <v>157</v>
      </c>
      <c r="G114" s="6" t="s">
        <v>20</v>
      </c>
      <c r="H114" s="4">
        <v>2019</v>
      </c>
      <c r="I114" s="7">
        <v>1</v>
      </c>
      <c r="J114" s="8"/>
      <c r="K114" s="8" t="s">
        <v>90</v>
      </c>
      <c r="L114" s="9"/>
      <c r="M114" s="6" t="s">
        <v>22</v>
      </c>
      <c r="N114" s="6">
        <f t="shared" si="7"/>
        <v>0</v>
      </c>
    </row>
    <row r="115" spans="1:15" ht="18" customHeight="1">
      <c r="A115" s="4">
        <f t="shared" si="6"/>
        <v>114</v>
      </c>
      <c r="B115" s="11" t="s">
        <v>242</v>
      </c>
      <c r="C115" s="6" t="s">
        <v>243</v>
      </c>
      <c r="D115" s="6" t="s">
        <v>243</v>
      </c>
      <c r="E115" s="6" t="s">
        <v>244</v>
      </c>
      <c r="F115" s="6" t="s">
        <v>245</v>
      </c>
      <c r="G115" s="6" t="s">
        <v>246</v>
      </c>
      <c r="H115" s="4">
        <v>2001</v>
      </c>
      <c r="I115" s="7">
        <v>1</v>
      </c>
      <c r="J115" s="8"/>
      <c r="K115" s="8"/>
      <c r="L115" s="9"/>
      <c r="M115" s="6" t="s">
        <v>22</v>
      </c>
      <c r="N115" s="6">
        <f t="shared" si="7"/>
        <v>0</v>
      </c>
    </row>
    <row r="116" spans="1:15" ht="13.2">
      <c r="J116" s="30"/>
      <c r="K116" s="30"/>
      <c r="L116" s="31"/>
      <c r="N116" s="32">
        <f>SUM(N2:N115)</f>
        <v>0</v>
      </c>
    </row>
    <row r="117" spans="1:15" ht="13.2">
      <c r="J117" s="30"/>
      <c r="K117" s="30"/>
      <c r="L117" s="31"/>
    </row>
    <row r="118" spans="1:15" ht="13.2">
      <c r="J118" s="30"/>
      <c r="K118" s="30"/>
      <c r="L118" s="31"/>
    </row>
    <row r="119" spans="1:15" ht="13.8">
      <c r="F119" s="6"/>
      <c r="J119" s="30"/>
      <c r="K119" s="30"/>
      <c r="L119" s="31"/>
    </row>
    <row r="120" spans="1:15" ht="13.2">
      <c r="J120" s="30"/>
      <c r="K120" s="30"/>
      <c r="L120" s="31"/>
    </row>
    <row r="121" spans="1:15" ht="13.2">
      <c r="J121" s="30"/>
      <c r="K121" s="30"/>
      <c r="L121" s="31"/>
    </row>
    <row r="122" spans="1:15" ht="13.2">
      <c r="J122" s="30"/>
      <c r="K122" s="30"/>
      <c r="L122" s="31"/>
    </row>
    <row r="123" spans="1:15" ht="13.2">
      <c r="J123" s="30"/>
      <c r="K123" s="30"/>
      <c r="L123" s="31"/>
    </row>
    <row r="124" spans="1:15" ht="13.2">
      <c r="J124" s="30"/>
      <c r="K124" s="30"/>
      <c r="L124" s="31"/>
    </row>
    <row r="125" spans="1:15" ht="13.2">
      <c r="J125" s="30"/>
      <c r="K125" s="30"/>
      <c r="L125" s="31"/>
    </row>
    <row r="126" spans="1:15" ht="13.2">
      <c r="J126" s="30"/>
      <c r="K126" s="30"/>
      <c r="L126" s="31"/>
    </row>
    <row r="127" spans="1:15" ht="13.2">
      <c r="J127" s="30"/>
      <c r="K127" s="30"/>
      <c r="L127" s="31"/>
    </row>
    <row r="128" spans="1:15" ht="13.2">
      <c r="J128" s="30"/>
      <c r="K128" s="30"/>
      <c r="L128" s="31"/>
    </row>
    <row r="129" spans="10:12" ht="13.2">
      <c r="J129" s="30"/>
      <c r="K129" s="30"/>
      <c r="L129" s="31"/>
    </row>
    <row r="130" spans="10:12" ht="13.2">
      <c r="J130" s="30"/>
      <c r="K130" s="30"/>
      <c r="L130" s="31"/>
    </row>
    <row r="131" spans="10:12" ht="13.2">
      <c r="J131" s="30"/>
      <c r="K131" s="30"/>
      <c r="L131" s="31"/>
    </row>
    <row r="132" spans="10:12" ht="13.2">
      <c r="J132" s="30"/>
      <c r="K132" s="30"/>
      <c r="L132" s="31"/>
    </row>
    <row r="133" spans="10:12" ht="13.2">
      <c r="J133" s="30"/>
      <c r="K133" s="30"/>
      <c r="L133" s="31"/>
    </row>
    <row r="134" spans="10:12" ht="13.2">
      <c r="J134" s="30"/>
      <c r="K134" s="30"/>
      <c r="L134" s="31"/>
    </row>
    <row r="135" spans="10:12" ht="13.2">
      <c r="J135" s="30"/>
      <c r="K135" s="30"/>
      <c r="L135" s="31"/>
    </row>
    <row r="136" spans="10:12" ht="13.2">
      <c r="J136" s="30"/>
      <c r="K136" s="30"/>
      <c r="L136" s="31"/>
    </row>
    <row r="137" spans="10:12" ht="13.2">
      <c r="J137" s="30"/>
      <c r="K137" s="30"/>
      <c r="L137" s="31"/>
    </row>
    <row r="138" spans="10:12" ht="13.2">
      <c r="J138" s="30"/>
      <c r="K138" s="30"/>
      <c r="L138" s="31"/>
    </row>
    <row r="139" spans="10:12" ht="13.2">
      <c r="J139" s="30"/>
      <c r="K139" s="30"/>
      <c r="L139" s="31"/>
    </row>
    <row r="140" spans="10:12" ht="13.2">
      <c r="J140" s="30"/>
      <c r="K140" s="30"/>
      <c r="L140" s="31"/>
    </row>
    <row r="141" spans="10:12" ht="13.2">
      <c r="J141" s="30"/>
      <c r="K141" s="30"/>
      <c r="L141" s="31"/>
    </row>
    <row r="142" spans="10:12" ht="13.2">
      <c r="J142" s="30"/>
      <c r="K142" s="30"/>
      <c r="L142" s="31"/>
    </row>
    <row r="143" spans="10:12" ht="13.2">
      <c r="J143" s="30"/>
      <c r="K143" s="30"/>
      <c r="L143" s="31"/>
    </row>
    <row r="144" spans="10:12" ht="13.2">
      <c r="J144" s="30"/>
      <c r="K144" s="30"/>
      <c r="L144" s="31"/>
    </row>
    <row r="145" spans="10:12" ht="13.2">
      <c r="J145" s="30"/>
      <c r="K145" s="30"/>
      <c r="L145" s="31"/>
    </row>
    <row r="146" spans="10:12" ht="13.2">
      <c r="J146" s="30"/>
      <c r="K146" s="30"/>
      <c r="L146" s="31"/>
    </row>
    <row r="147" spans="10:12" ht="13.2">
      <c r="J147" s="30"/>
      <c r="K147" s="30"/>
      <c r="L147" s="31"/>
    </row>
    <row r="148" spans="10:12" ht="13.2">
      <c r="J148" s="30"/>
      <c r="K148" s="30"/>
      <c r="L148" s="31"/>
    </row>
    <row r="149" spans="10:12" ht="13.2">
      <c r="J149" s="30"/>
      <c r="K149" s="30"/>
      <c r="L149" s="31"/>
    </row>
    <row r="150" spans="10:12" ht="13.2">
      <c r="J150" s="30"/>
      <c r="K150" s="30"/>
      <c r="L150" s="31"/>
    </row>
    <row r="151" spans="10:12" ht="13.2">
      <c r="J151" s="30"/>
      <c r="K151" s="30"/>
      <c r="L151" s="31"/>
    </row>
    <row r="152" spans="10:12" ht="13.2">
      <c r="J152" s="30"/>
      <c r="K152" s="30"/>
      <c r="L152" s="31"/>
    </row>
    <row r="153" spans="10:12" ht="13.2">
      <c r="J153" s="30"/>
      <c r="K153" s="30"/>
      <c r="L153" s="31"/>
    </row>
    <row r="154" spans="10:12" ht="13.2">
      <c r="J154" s="30"/>
      <c r="K154" s="30"/>
      <c r="L154" s="31"/>
    </row>
    <row r="155" spans="10:12" ht="13.2">
      <c r="J155" s="30"/>
      <c r="K155" s="30"/>
      <c r="L155" s="31"/>
    </row>
    <row r="156" spans="10:12" ht="13.2">
      <c r="J156" s="30"/>
      <c r="K156" s="30"/>
      <c r="L156" s="31"/>
    </row>
    <row r="157" spans="10:12" ht="13.2">
      <c r="J157" s="30"/>
      <c r="K157" s="30"/>
      <c r="L157" s="31"/>
    </row>
    <row r="158" spans="10:12" ht="13.2">
      <c r="J158" s="30"/>
      <c r="K158" s="30"/>
      <c r="L158" s="31"/>
    </row>
    <row r="159" spans="10:12" ht="13.2">
      <c r="J159" s="30"/>
      <c r="K159" s="30"/>
      <c r="L159" s="31"/>
    </row>
    <row r="160" spans="10:12" ht="13.2">
      <c r="J160" s="30"/>
      <c r="K160" s="30"/>
      <c r="L160" s="31"/>
    </row>
  </sheetData>
  <autoFilter ref="A1:O116" xr:uid="{00000000-0009-0000-0000-000000000000}">
    <sortState xmlns:xlrd2="http://schemas.microsoft.com/office/spreadsheetml/2017/richdata2" ref="A2:O116">
      <sortCondition descending="1" ref="L1:L116"/>
    </sortState>
  </autoFilter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R盲品"/>
  <dimension ref="A1:J25"/>
  <sheetViews>
    <sheetView workbookViewId="0"/>
  </sheetViews>
  <sheetFormatPr defaultColWidth="14.21875" defaultRowHeight="18" customHeight="1"/>
  <cols>
    <col min="1" max="1" width="5.6640625" customWidth="1"/>
    <col min="2" max="2" width="20.88671875" customWidth="1"/>
    <col min="3" max="3" width="19.77734375" customWidth="1"/>
    <col min="4" max="4" width="18.88671875" customWidth="1"/>
    <col min="5" max="5" width="36.44140625" customWidth="1"/>
    <col min="6" max="6" width="38.44140625" customWidth="1"/>
  </cols>
  <sheetData>
    <row r="1" spans="1:10">
      <c r="A1" s="33" t="s">
        <v>1</v>
      </c>
      <c r="B1" s="33" t="s">
        <v>3</v>
      </c>
      <c r="C1" s="33" t="s">
        <v>4</v>
      </c>
      <c r="D1" s="33" t="s">
        <v>5</v>
      </c>
      <c r="E1" s="33" t="s">
        <v>6</v>
      </c>
      <c r="F1" s="33" t="s">
        <v>257</v>
      </c>
      <c r="G1" s="33" t="s">
        <v>8</v>
      </c>
      <c r="H1" s="33" t="s">
        <v>258</v>
      </c>
      <c r="I1" s="33" t="s">
        <v>13</v>
      </c>
    </row>
    <row r="2" spans="1:10">
      <c r="A2" s="34">
        <f t="shared" ref="A2:A11" si="0">ROW()-1</f>
        <v>1</v>
      </c>
      <c r="B2" s="35" t="s">
        <v>84</v>
      </c>
      <c r="C2" s="35"/>
      <c r="D2" s="35" t="s">
        <v>259</v>
      </c>
      <c r="E2" s="35" t="s">
        <v>260</v>
      </c>
      <c r="F2" s="35" t="s">
        <v>261</v>
      </c>
      <c r="G2" s="35"/>
      <c r="H2" s="35">
        <v>450</v>
      </c>
      <c r="I2" s="35" t="s">
        <v>262</v>
      </c>
    </row>
    <row r="3" spans="1:10">
      <c r="A3" s="36">
        <f t="shared" si="0"/>
        <v>2</v>
      </c>
      <c r="B3" s="35" t="s">
        <v>86</v>
      </c>
      <c r="C3" s="35" t="s">
        <v>94</v>
      </c>
      <c r="D3" s="35" t="s">
        <v>95</v>
      </c>
      <c r="E3" s="35" t="s">
        <v>96</v>
      </c>
      <c r="F3" s="35" t="s">
        <v>263</v>
      </c>
      <c r="G3" s="35">
        <v>2019</v>
      </c>
      <c r="H3" s="35">
        <v>666</v>
      </c>
      <c r="I3" s="35" t="s">
        <v>262</v>
      </c>
    </row>
    <row r="4" spans="1:10">
      <c r="A4" s="36">
        <f t="shared" si="0"/>
        <v>3</v>
      </c>
      <c r="B4" s="37" t="s">
        <v>264</v>
      </c>
      <c r="C4" s="35" t="s">
        <v>265</v>
      </c>
      <c r="D4" s="35" t="s">
        <v>266</v>
      </c>
      <c r="E4" s="35" t="s">
        <v>267</v>
      </c>
      <c r="F4" s="35" t="s">
        <v>268</v>
      </c>
      <c r="G4" s="35">
        <v>2019</v>
      </c>
      <c r="H4" s="35">
        <v>1000</v>
      </c>
      <c r="I4" s="35" t="s">
        <v>269</v>
      </c>
    </row>
    <row r="5" spans="1:10">
      <c r="A5" s="36">
        <f t="shared" si="0"/>
        <v>4</v>
      </c>
      <c r="B5" s="35" t="s">
        <v>45</v>
      </c>
      <c r="C5" s="35" t="s">
        <v>270</v>
      </c>
      <c r="D5" s="35" t="s">
        <v>271</v>
      </c>
      <c r="E5" s="35" t="s">
        <v>272</v>
      </c>
      <c r="F5" s="35" t="s">
        <v>273</v>
      </c>
      <c r="G5" s="35">
        <v>2021</v>
      </c>
      <c r="H5" s="35">
        <v>500</v>
      </c>
      <c r="I5" s="35" t="s">
        <v>262</v>
      </c>
    </row>
    <row r="6" spans="1:10">
      <c r="A6" s="36">
        <f t="shared" si="0"/>
        <v>5</v>
      </c>
      <c r="B6" s="35" t="s">
        <v>71</v>
      </c>
      <c r="C6" s="35"/>
      <c r="D6" s="35" t="s">
        <v>274</v>
      </c>
      <c r="E6" s="35" t="s">
        <v>275</v>
      </c>
      <c r="F6" s="35" t="s">
        <v>275</v>
      </c>
      <c r="G6" s="35">
        <v>2020</v>
      </c>
      <c r="H6" s="35">
        <v>550</v>
      </c>
      <c r="I6" s="35" t="s">
        <v>276</v>
      </c>
    </row>
    <row r="7" spans="1:10">
      <c r="A7" s="38">
        <f t="shared" si="0"/>
        <v>6</v>
      </c>
      <c r="B7" s="35" t="s">
        <v>277</v>
      </c>
      <c r="C7" s="35"/>
      <c r="D7" s="35" t="s">
        <v>278</v>
      </c>
      <c r="E7" s="35" t="s">
        <v>279</v>
      </c>
      <c r="F7" s="35" t="s">
        <v>280</v>
      </c>
      <c r="G7" s="35">
        <v>2023</v>
      </c>
      <c r="H7" s="35">
        <v>400</v>
      </c>
      <c r="I7" s="35" t="s">
        <v>281</v>
      </c>
    </row>
    <row r="8" spans="1:10">
      <c r="A8" s="38">
        <f t="shared" si="0"/>
        <v>7</v>
      </c>
      <c r="B8" s="35" t="s">
        <v>71</v>
      </c>
      <c r="C8" s="35" t="s">
        <v>81</v>
      </c>
      <c r="D8" s="35" t="s">
        <v>82</v>
      </c>
      <c r="E8" s="35" t="s">
        <v>83</v>
      </c>
      <c r="F8" s="35" t="s">
        <v>236</v>
      </c>
      <c r="G8" s="35">
        <v>2018</v>
      </c>
      <c r="H8" s="35">
        <v>800</v>
      </c>
      <c r="I8" s="35" t="s">
        <v>262</v>
      </c>
    </row>
    <row r="9" spans="1:10">
      <c r="A9" s="38">
        <f t="shared" si="0"/>
        <v>8</v>
      </c>
      <c r="B9" s="35" t="s">
        <v>45</v>
      </c>
      <c r="C9" s="35"/>
      <c r="D9" s="35"/>
      <c r="E9" s="35"/>
      <c r="F9" s="35"/>
      <c r="G9" s="35"/>
      <c r="H9" s="35">
        <v>800</v>
      </c>
      <c r="I9" s="35" t="s">
        <v>262</v>
      </c>
    </row>
    <row r="10" spans="1:10">
      <c r="A10" s="38">
        <f t="shared" si="0"/>
        <v>9</v>
      </c>
      <c r="B10" s="35" t="s">
        <v>104</v>
      </c>
      <c r="C10" s="35" t="s">
        <v>123</v>
      </c>
      <c r="D10" s="35" t="s">
        <v>137</v>
      </c>
      <c r="E10" s="35" t="s">
        <v>123</v>
      </c>
      <c r="F10" s="35" t="s">
        <v>282</v>
      </c>
      <c r="G10" s="35">
        <v>2001</v>
      </c>
      <c r="H10" s="35">
        <v>1000</v>
      </c>
      <c r="I10" s="35" t="s">
        <v>262</v>
      </c>
    </row>
    <row r="11" spans="1:10">
      <c r="A11" s="38">
        <f t="shared" si="0"/>
        <v>10</v>
      </c>
      <c r="B11" s="35" t="s">
        <v>159</v>
      </c>
      <c r="C11" s="35" t="s">
        <v>160</v>
      </c>
      <c r="D11" s="35" t="s">
        <v>166</v>
      </c>
      <c r="E11" s="35" t="s">
        <v>283</v>
      </c>
      <c r="F11" s="35" t="s">
        <v>284</v>
      </c>
      <c r="G11" s="35">
        <v>2013</v>
      </c>
      <c r="H11" s="35">
        <v>1350</v>
      </c>
      <c r="I11" s="35" t="s">
        <v>262</v>
      </c>
    </row>
    <row r="12" spans="1:10">
      <c r="A12" t="s">
        <v>14</v>
      </c>
      <c r="H12">
        <f>SUM(H2:H11)</f>
        <v>7516</v>
      </c>
    </row>
    <row r="14" spans="1:10">
      <c r="A14" s="33" t="s">
        <v>1</v>
      </c>
      <c r="B14" s="33" t="s">
        <v>2</v>
      </c>
      <c r="C14" s="33" t="s">
        <v>3</v>
      </c>
      <c r="D14" s="33" t="s">
        <v>4</v>
      </c>
      <c r="E14" s="33" t="s">
        <v>5</v>
      </c>
      <c r="F14" s="33" t="s">
        <v>6</v>
      </c>
      <c r="G14" s="33" t="s">
        <v>257</v>
      </c>
      <c r="H14" s="33" t="s">
        <v>8</v>
      </c>
      <c r="I14" s="33" t="s">
        <v>258</v>
      </c>
      <c r="J14" s="33" t="s">
        <v>13</v>
      </c>
    </row>
    <row r="15" spans="1:10">
      <c r="A15" s="36">
        <f t="shared" ref="A15:A24" si="1">ROW()-14</f>
        <v>1</v>
      </c>
      <c r="B15" s="35" t="s">
        <v>44</v>
      </c>
      <c r="C15" s="35" t="s">
        <v>84</v>
      </c>
      <c r="D15" s="35"/>
      <c r="E15" s="35" t="s">
        <v>259</v>
      </c>
      <c r="F15" s="35" t="s">
        <v>260</v>
      </c>
      <c r="G15" s="35" t="s">
        <v>261</v>
      </c>
      <c r="H15" s="35"/>
      <c r="I15" s="35">
        <v>450</v>
      </c>
      <c r="J15" s="35" t="s">
        <v>262</v>
      </c>
    </row>
    <row r="16" spans="1:10">
      <c r="A16" s="36">
        <f t="shared" si="1"/>
        <v>2</v>
      </c>
      <c r="B16" s="35" t="s">
        <v>44</v>
      </c>
      <c r="C16" s="35" t="s">
        <v>86</v>
      </c>
      <c r="D16" s="35" t="s">
        <v>285</v>
      </c>
      <c r="E16" s="39" t="s">
        <v>286</v>
      </c>
      <c r="F16" s="40" t="s">
        <v>287</v>
      </c>
      <c r="G16" s="35" t="s">
        <v>288</v>
      </c>
      <c r="H16" s="35">
        <v>2018</v>
      </c>
      <c r="I16" s="35">
        <v>599</v>
      </c>
      <c r="J16" s="35" t="s">
        <v>276</v>
      </c>
    </row>
    <row r="17" spans="1:10">
      <c r="A17" s="36">
        <f t="shared" si="1"/>
        <v>3</v>
      </c>
      <c r="B17" s="35" t="s">
        <v>221</v>
      </c>
      <c r="C17" s="35" t="s">
        <v>237</v>
      </c>
      <c r="E17" s="35" t="s">
        <v>238</v>
      </c>
      <c r="F17" s="35" t="s">
        <v>289</v>
      </c>
      <c r="G17" s="35" t="s">
        <v>290</v>
      </c>
      <c r="H17" s="35">
        <v>2020</v>
      </c>
      <c r="I17" s="35">
        <v>400</v>
      </c>
      <c r="J17" s="35"/>
    </row>
    <row r="18" spans="1:10">
      <c r="A18" s="36">
        <f t="shared" si="1"/>
        <v>4</v>
      </c>
      <c r="B18" s="35" t="s">
        <v>44</v>
      </c>
      <c r="C18" s="35" t="s">
        <v>45</v>
      </c>
      <c r="D18" s="35" t="s">
        <v>270</v>
      </c>
      <c r="E18" s="35" t="s">
        <v>271</v>
      </c>
      <c r="F18" s="35" t="s">
        <v>272</v>
      </c>
      <c r="G18" s="35" t="s">
        <v>273</v>
      </c>
      <c r="H18" s="35">
        <v>2021</v>
      </c>
      <c r="I18" s="35">
        <v>500</v>
      </c>
      <c r="J18" s="35" t="s">
        <v>262</v>
      </c>
    </row>
    <row r="19" spans="1:10">
      <c r="A19" s="36">
        <f t="shared" si="1"/>
        <v>5</v>
      </c>
      <c r="B19" s="35"/>
      <c r="C19" s="35"/>
      <c r="D19" s="35"/>
      <c r="E19" s="35"/>
      <c r="F19" s="35"/>
      <c r="G19" s="35"/>
      <c r="H19" s="35"/>
      <c r="I19" s="35"/>
      <c r="J19" s="35"/>
    </row>
    <row r="20" spans="1:10">
      <c r="A20" s="38">
        <f t="shared" si="1"/>
        <v>6</v>
      </c>
      <c r="B20" s="35"/>
      <c r="C20" s="35"/>
      <c r="D20" s="35"/>
      <c r="E20" s="35"/>
      <c r="F20" s="35"/>
      <c r="G20" s="35"/>
      <c r="H20" s="35"/>
      <c r="I20" s="35"/>
      <c r="J20" s="35"/>
    </row>
    <row r="21" spans="1:10">
      <c r="A21" s="38">
        <f t="shared" si="1"/>
        <v>7</v>
      </c>
      <c r="B21" s="35" t="s">
        <v>168</v>
      </c>
      <c r="C21" s="41" t="s">
        <v>169</v>
      </c>
      <c r="D21" s="35"/>
      <c r="E21" s="42" t="s">
        <v>170</v>
      </c>
      <c r="F21" s="35" t="s">
        <v>172</v>
      </c>
      <c r="G21" s="35" t="s">
        <v>236</v>
      </c>
      <c r="H21" s="35">
        <v>2018</v>
      </c>
      <c r="I21" s="35">
        <v>699</v>
      </c>
      <c r="J21" s="35" t="s">
        <v>262</v>
      </c>
    </row>
    <row r="22" spans="1:10">
      <c r="A22" s="38">
        <f t="shared" si="1"/>
        <v>8</v>
      </c>
      <c r="B22" s="35" t="s">
        <v>291</v>
      </c>
      <c r="C22" s="41" t="s">
        <v>254</v>
      </c>
      <c r="D22" s="32"/>
      <c r="E22" s="42" t="s">
        <v>255</v>
      </c>
      <c r="F22" s="35" t="s">
        <v>256</v>
      </c>
      <c r="G22" s="35" t="s">
        <v>292</v>
      </c>
      <c r="H22" s="35">
        <v>2015</v>
      </c>
      <c r="I22" s="35">
        <v>850</v>
      </c>
      <c r="J22" s="35" t="s">
        <v>262</v>
      </c>
    </row>
    <row r="23" spans="1:10">
      <c r="A23" s="38">
        <f t="shared" si="1"/>
        <v>9</v>
      </c>
      <c r="B23" s="35" t="s">
        <v>16</v>
      </c>
      <c r="C23" s="41" t="s">
        <v>24</v>
      </c>
      <c r="D23" s="32"/>
      <c r="E23" s="42" t="s">
        <v>25</v>
      </c>
      <c r="F23" s="35" t="s">
        <v>26</v>
      </c>
      <c r="G23" s="35" t="s">
        <v>282</v>
      </c>
      <c r="H23" s="35">
        <v>2018</v>
      </c>
      <c r="I23" s="35">
        <v>500</v>
      </c>
      <c r="J23" s="35" t="s">
        <v>262</v>
      </c>
    </row>
    <row r="24" spans="1:10">
      <c r="A24" s="38">
        <f t="shared" si="1"/>
        <v>10</v>
      </c>
      <c r="B24" s="35" t="s">
        <v>44</v>
      </c>
      <c r="C24" s="35" t="s">
        <v>159</v>
      </c>
      <c r="D24" s="35" t="s">
        <v>160</v>
      </c>
      <c r="E24" s="35" t="s">
        <v>166</v>
      </c>
      <c r="F24" s="35" t="s">
        <v>283</v>
      </c>
      <c r="G24" s="35" t="s">
        <v>284</v>
      </c>
      <c r="H24" s="35">
        <v>2013</v>
      </c>
      <c r="I24" s="35">
        <v>1350</v>
      </c>
      <c r="J24" s="35" t="s">
        <v>262</v>
      </c>
    </row>
    <row r="25" spans="1:10">
      <c r="A25" t="s">
        <v>14</v>
      </c>
      <c r="I25">
        <f>SUM(I15:I24)</f>
        <v>5348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defaultRowHeight="13.8"/>
  <cols>
    <col min="1" max="1" width="14.77734375" customWidth="1"/>
    <col min="2" max="2" width="22.21875" customWidth="1"/>
  </cols>
  <sheetData>
    <row r="1" spans="1:4" ht="13.2">
      <c r="C1" s="131" t="s">
        <v>0</v>
      </c>
    </row>
    <row r="2" spans="1:4" ht="13.2">
      <c r="A2" s="131" t="s">
        <v>339</v>
      </c>
      <c r="B2" s="131" t="s">
        <v>3</v>
      </c>
      <c r="C2" t="s">
        <v>293</v>
      </c>
      <c r="D2" t="s">
        <v>294</v>
      </c>
    </row>
    <row r="3" spans="1:4" ht="13.2">
      <c r="A3" s="132" t="s">
        <v>44</v>
      </c>
      <c r="C3" s="133">
        <v>177672</v>
      </c>
      <c r="D3" s="133">
        <v>78</v>
      </c>
    </row>
    <row r="4" spans="1:4" ht="13.2">
      <c r="B4" s="132" t="s">
        <v>71</v>
      </c>
      <c r="C4" s="133">
        <v>3415</v>
      </c>
      <c r="D4" s="133">
        <v>4</v>
      </c>
    </row>
    <row r="5" spans="1:4" ht="13.2">
      <c r="B5" s="132" t="s">
        <v>104</v>
      </c>
      <c r="C5" s="133">
        <v>117727</v>
      </c>
      <c r="D5" s="133">
        <v>44</v>
      </c>
    </row>
    <row r="6" spans="1:4" ht="13.2">
      <c r="B6" s="132" t="s">
        <v>86</v>
      </c>
      <c r="C6" s="133">
        <v>10621</v>
      </c>
      <c r="D6" s="133">
        <v>6</v>
      </c>
    </row>
    <row r="7" spans="1:4" ht="13.2">
      <c r="B7" s="132" t="s">
        <v>45</v>
      </c>
      <c r="C7" s="133">
        <v>28195</v>
      </c>
      <c r="D7" s="133">
        <v>18</v>
      </c>
    </row>
    <row r="8" spans="1:4" ht="13.2">
      <c r="B8" s="132" t="s">
        <v>159</v>
      </c>
      <c r="C8" s="133">
        <v>17714</v>
      </c>
      <c r="D8" s="133">
        <v>6</v>
      </c>
    </row>
    <row r="9" spans="1:4" ht="13.2">
      <c r="A9" s="132" t="s">
        <v>178</v>
      </c>
      <c r="C9" s="133">
        <v>25213</v>
      </c>
      <c r="D9" s="133">
        <v>20</v>
      </c>
    </row>
    <row r="10" spans="1:4" ht="13.2">
      <c r="B10" s="132" t="s">
        <v>195</v>
      </c>
      <c r="C10" s="133">
        <v>2201</v>
      </c>
      <c r="D10" s="133">
        <v>1</v>
      </c>
    </row>
    <row r="11" spans="1:4" ht="13.2">
      <c r="B11" s="132" t="s">
        <v>190</v>
      </c>
      <c r="C11" s="133">
        <v>2032</v>
      </c>
      <c r="D11" s="133">
        <v>2</v>
      </c>
    </row>
    <row r="12" spans="1:4" ht="13.2">
      <c r="B12" s="132" t="s">
        <v>199</v>
      </c>
      <c r="C12" s="133">
        <v>12298</v>
      </c>
      <c r="D12" s="133">
        <v>10</v>
      </c>
    </row>
    <row r="13" spans="1:4" ht="13.2">
      <c r="B13" s="132" t="s">
        <v>215</v>
      </c>
      <c r="C13" s="133">
        <v>1326</v>
      </c>
      <c r="D13" s="133">
        <v>2</v>
      </c>
    </row>
    <row r="14" spans="1:4" ht="13.2">
      <c r="B14" s="132" t="s">
        <v>184</v>
      </c>
      <c r="C14" s="133">
        <v>5399</v>
      </c>
      <c r="D14" s="133">
        <v>3</v>
      </c>
    </row>
    <row r="15" spans="1:4" ht="13.2">
      <c r="B15" s="132" t="s">
        <v>179</v>
      </c>
      <c r="C15" s="133">
        <v>1957</v>
      </c>
      <c r="D15" s="133">
        <v>2</v>
      </c>
    </row>
    <row r="16" spans="1:4" ht="13.2">
      <c r="A16" s="132" t="s">
        <v>36</v>
      </c>
      <c r="C16" s="133">
        <v>1298</v>
      </c>
      <c r="D16" s="133">
        <v>1</v>
      </c>
    </row>
    <row r="17" spans="1:4" ht="13.2">
      <c r="B17" s="132" t="s">
        <v>37</v>
      </c>
      <c r="C17" s="133">
        <v>1298</v>
      </c>
      <c r="D17" s="133">
        <v>1</v>
      </c>
    </row>
    <row r="18" spans="1:4" ht="13.2">
      <c r="A18" s="132" t="s">
        <v>253</v>
      </c>
      <c r="C18" s="133">
        <v>1241</v>
      </c>
      <c r="D18" s="133">
        <v>1</v>
      </c>
    </row>
    <row r="19" spans="1:4" ht="13.2">
      <c r="B19" s="132" t="s">
        <v>254</v>
      </c>
      <c r="C19" s="133">
        <v>1241</v>
      </c>
      <c r="D19" s="133">
        <v>1</v>
      </c>
    </row>
    <row r="20" spans="1:4" ht="13.2">
      <c r="A20" s="132" t="s">
        <v>16</v>
      </c>
      <c r="C20" s="133">
        <v>3704</v>
      </c>
      <c r="D20" s="133">
        <v>5</v>
      </c>
    </row>
    <row r="21" spans="1:4" ht="13.2">
      <c r="B21" s="132" t="s">
        <v>28</v>
      </c>
      <c r="C21" s="133">
        <v>970</v>
      </c>
      <c r="D21" s="133">
        <v>1</v>
      </c>
    </row>
    <row r="22" spans="1:4" ht="13.2">
      <c r="B22" s="132" t="s">
        <v>24</v>
      </c>
      <c r="C22" s="133">
        <v>700</v>
      </c>
      <c r="D22" s="133">
        <v>1</v>
      </c>
    </row>
    <row r="23" spans="1:4" ht="13.2">
      <c r="B23" s="132" t="s">
        <v>17</v>
      </c>
      <c r="C23" s="133">
        <v>1026</v>
      </c>
      <c r="D23" s="133">
        <v>1</v>
      </c>
    </row>
    <row r="24" spans="1:4" ht="13.2">
      <c r="B24" s="132" t="s">
        <v>31</v>
      </c>
      <c r="C24" s="133">
        <v>1008</v>
      </c>
      <c r="D24" s="133">
        <v>2</v>
      </c>
    </row>
    <row r="25" spans="1:4" ht="13.2">
      <c r="A25" s="132" t="s">
        <v>242</v>
      </c>
      <c r="C25" s="133">
        <v>1332</v>
      </c>
      <c r="D25" s="133">
        <v>2</v>
      </c>
    </row>
    <row r="26" spans="1:4" ht="13.2">
      <c r="B26" s="132" t="s">
        <v>243</v>
      </c>
      <c r="C26" s="133">
        <v>1332</v>
      </c>
      <c r="D26" s="133">
        <v>2</v>
      </c>
    </row>
    <row r="27" spans="1:4" ht="13.2">
      <c r="A27" s="132" t="s">
        <v>40</v>
      </c>
      <c r="C27" s="133">
        <v>1002</v>
      </c>
      <c r="D27" s="133">
        <v>1</v>
      </c>
    </row>
    <row r="28" spans="1:4" ht="13.2">
      <c r="B28" s="132" t="s">
        <v>41</v>
      </c>
      <c r="C28" s="133">
        <v>1002</v>
      </c>
      <c r="D28" s="133">
        <v>1</v>
      </c>
    </row>
    <row r="29" spans="1:4" ht="13.2">
      <c r="A29" s="132" t="s">
        <v>249</v>
      </c>
      <c r="C29" s="133">
        <v>1194</v>
      </c>
      <c r="D29" s="133">
        <v>1</v>
      </c>
    </row>
    <row r="30" spans="1:4" ht="13.2">
      <c r="B30" s="132" t="s">
        <v>250</v>
      </c>
      <c r="C30" s="133">
        <v>1194</v>
      </c>
      <c r="D30" s="133">
        <v>1</v>
      </c>
    </row>
    <row r="31" spans="1:4" ht="13.2">
      <c r="A31" s="132" t="s">
        <v>221</v>
      </c>
      <c r="C31" s="133">
        <v>4513</v>
      </c>
      <c r="D31" s="133">
        <v>7</v>
      </c>
    </row>
    <row r="32" spans="1:4" ht="13.2">
      <c r="B32" s="132" t="s">
        <v>222</v>
      </c>
      <c r="C32" s="133">
        <v>2018</v>
      </c>
      <c r="D32" s="133">
        <v>3</v>
      </c>
    </row>
    <row r="33" spans="1:4" ht="13.2">
      <c r="B33" s="132" t="s">
        <v>237</v>
      </c>
      <c r="C33" s="133">
        <v>672</v>
      </c>
      <c r="D33" s="133">
        <v>1</v>
      </c>
    </row>
    <row r="34" spans="1:4" ht="13.2">
      <c r="B34" s="132" t="s">
        <v>234</v>
      </c>
      <c r="C34" s="133">
        <v>1243</v>
      </c>
      <c r="D34" s="133">
        <v>2</v>
      </c>
    </row>
    <row r="35" spans="1:4" ht="13.2">
      <c r="B35" s="132" t="s">
        <v>230</v>
      </c>
      <c r="C35" s="133">
        <v>580</v>
      </c>
      <c r="D35" s="133">
        <v>1</v>
      </c>
    </row>
    <row r="36" spans="1:4" ht="13.2">
      <c r="A36" s="132" t="s">
        <v>173</v>
      </c>
      <c r="C36" s="133">
        <v>653</v>
      </c>
      <c r="D36" s="133">
        <v>1</v>
      </c>
    </row>
    <row r="37" spans="1:4" ht="13.2">
      <c r="B37" s="132" t="s">
        <v>174</v>
      </c>
      <c r="C37" s="133">
        <v>653</v>
      </c>
      <c r="D37" s="133">
        <v>1</v>
      </c>
    </row>
    <row r="38" spans="1:4" ht="13.2">
      <c r="A38" s="132" t="s">
        <v>168</v>
      </c>
      <c r="C38" s="133">
        <v>1138</v>
      </c>
      <c r="D38" s="133">
        <v>2</v>
      </c>
    </row>
    <row r="39" spans="1:4" ht="13.2">
      <c r="B39" s="132" t="s">
        <v>169</v>
      </c>
      <c r="C39" s="133">
        <v>1138</v>
      </c>
      <c r="D39" s="133">
        <v>2</v>
      </c>
    </row>
    <row r="40" spans="1:4">
      <c r="A40" s="132" t="s">
        <v>295</v>
      </c>
      <c r="C40" s="133">
        <v>218960</v>
      </c>
      <c r="D40" s="133">
        <v>119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CoteRotie1"/>
  <dimension ref="A1:E25"/>
  <sheetViews>
    <sheetView workbookViewId="0"/>
  </sheetViews>
  <sheetFormatPr defaultColWidth="14.21875" defaultRowHeight="18" customHeight="1"/>
  <cols>
    <col min="1" max="1" width="9.6640625" customWidth="1"/>
    <col min="2" max="2" width="34.6640625" customWidth="1"/>
    <col min="3" max="3" width="39.6640625" customWidth="1"/>
    <col min="4" max="5" width="9.6640625" customWidth="1"/>
  </cols>
  <sheetData>
    <row r="1" spans="1:5">
      <c r="A1" s="43" t="s">
        <v>1</v>
      </c>
      <c r="B1" s="44" t="s">
        <v>5</v>
      </c>
      <c r="C1" s="44" t="s">
        <v>6</v>
      </c>
      <c r="D1" s="44" t="s">
        <v>8</v>
      </c>
      <c r="E1" s="45" t="s">
        <v>258</v>
      </c>
    </row>
    <row r="2" spans="1:5">
      <c r="A2" s="46">
        <v>1</v>
      </c>
      <c r="B2" s="47" t="s">
        <v>105</v>
      </c>
      <c r="C2" s="47" t="s">
        <v>105</v>
      </c>
      <c r="D2" s="48">
        <v>2016</v>
      </c>
      <c r="E2" s="47">
        <v>2400</v>
      </c>
    </row>
    <row r="3" spans="1:5">
      <c r="A3" s="49">
        <v>2</v>
      </c>
      <c r="B3" s="50" t="s">
        <v>105</v>
      </c>
      <c r="C3" s="50" t="s">
        <v>105</v>
      </c>
      <c r="D3" s="51">
        <v>1985</v>
      </c>
      <c r="E3" s="50">
        <v>2100</v>
      </c>
    </row>
    <row r="4" spans="1:5">
      <c r="A4" s="49">
        <v>3</v>
      </c>
      <c r="B4" s="50" t="s">
        <v>108</v>
      </c>
      <c r="C4" s="50" t="s">
        <v>296</v>
      </c>
      <c r="D4" s="51">
        <v>2014</v>
      </c>
      <c r="E4" s="50">
        <v>568</v>
      </c>
    </row>
    <row r="5" spans="1:5">
      <c r="A5" s="49">
        <v>4</v>
      </c>
      <c r="B5" s="50" t="s">
        <v>297</v>
      </c>
      <c r="C5" s="50" t="s">
        <v>298</v>
      </c>
      <c r="D5" s="51">
        <v>2013</v>
      </c>
      <c r="E5" s="50">
        <v>450</v>
      </c>
    </row>
    <row r="6" spans="1:5">
      <c r="A6" s="49">
        <v>5</v>
      </c>
      <c r="B6" s="50" t="s">
        <v>124</v>
      </c>
      <c r="C6" s="50" t="s">
        <v>299</v>
      </c>
      <c r="D6" s="51">
        <v>1990</v>
      </c>
      <c r="E6" s="50">
        <v>990</v>
      </c>
    </row>
    <row r="7" spans="1:5">
      <c r="A7" s="49">
        <v>6</v>
      </c>
      <c r="B7" s="52" t="s">
        <v>128</v>
      </c>
      <c r="C7" s="52" t="s">
        <v>129</v>
      </c>
      <c r="D7" s="53">
        <v>2009</v>
      </c>
      <c r="E7" s="52">
        <v>1680</v>
      </c>
    </row>
    <row r="8" spans="1:5">
      <c r="A8" s="49">
        <v>7</v>
      </c>
      <c r="B8" s="32"/>
      <c r="C8" s="32"/>
      <c r="D8" s="32"/>
      <c r="E8" s="32"/>
    </row>
    <row r="9" spans="1:5">
      <c r="A9" s="49">
        <v>8</v>
      </c>
      <c r="B9" s="50" t="s">
        <v>137</v>
      </c>
      <c r="C9" s="50" t="s">
        <v>300</v>
      </c>
      <c r="D9" s="51">
        <v>2016</v>
      </c>
      <c r="E9" s="50">
        <v>2380</v>
      </c>
    </row>
    <row r="10" spans="1:5">
      <c r="A10" s="49">
        <v>9</v>
      </c>
      <c r="B10" s="50" t="s">
        <v>126</v>
      </c>
      <c r="C10" s="50" t="s">
        <v>123</v>
      </c>
      <c r="D10" s="51">
        <v>1999</v>
      </c>
      <c r="E10" s="50"/>
    </row>
    <row r="11" spans="1:5">
      <c r="A11" s="49">
        <v>10</v>
      </c>
      <c r="B11" s="50" t="s">
        <v>134</v>
      </c>
      <c r="C11" s="50" t="s">
        <v>129</v>
      </c>
      <c r="D11" s="51">
        <v>2014</v>
      </c>
      <c r="E11" s="50">
        <v>2380</v>
      </c>
    </row>
    <row r="12" spans="1:5">
      <c r="A12" s="54"/>
      <c r="B12" s="54"/>
      <c r="C12" s="54"/>
      <c r="D12" s="54"/>
      <c r="E12" s="54"/>
    </row>
    <row r="13" spans="1:5">
      <c r="A13" s="54"/>
      <c r="B13" s="54"/>
      <c r="C13" s="54"/>
      <c r="D13" s="54"/>
      <c r="E13" s="54"/>
    </row>
    <row r="14" spans="1:5">
      <c r="A14" s="54"/>
      <c r="B14" s="54"/>
      <c r="C14" s="54"/>
      <c r="D14" s="54"/>
      <c r="E14" s="54"/>
    </row>
    <row r="15" spans="1:5">
      <c r="A15" s="46" t="s">
        <v>22</v>
      </c>
      <c r="B15" s="47" t="s">
        <v>301</v>
      </c>
      <c r="C15" s="47" t="s">
        <v>302</v>
      </c>
      <c r="D15" s="48">
        <v>2020</v>
      </c>
      <c r="E15" s="47" t="s">
        <v>22</v>
      </c>
    </row>
    <row r="16" spans="1:5">
      <c r="A16" s="49" t="s">
        <v>22</v>
      </c>
      <c r="B16" s="50" t="s">
        <v>152</v>
      </c>
      <c r="C16" s="50" t="s">
        <v>303</v>
      </c>
      <c r="D16" s="51">
        <v>2017</v>
      </c>
      <c r="E16" s="50" t="s">
        <v>22</v>
      </c>
    </row>
    <row r="17" spans="1:5">
      <c r="A17" s="49" t="s">
        <v>22</v>
      </c>
      <c r="B17" s="50" t="s">
        <v>108</v>
      </c>
      <c r="C17" s="50" t="s">
        <v>109</v>
      </c>
      <c r="D17" s="51">
        <v>2020</v>
      </c>
      <c r="E17" s="50" t="s">
        <v>22</v>
      </c>
    </row>
    <row r="18" spans="1:5">
      <c r="A18" s="49" t="s">
        <v>22</v>
      </c>
      <c r="B18" s="50" t="s">
        <v>304</v>
      </c>
      <c r="C18" s="50" t="s">
        <v>305</v>
      </c>
      <c r="D18" s="51">
        <v>2015</v>
      </c>
      <c r="E18" s="50" t="s">
        <v>22</v>
      </c>
    </row>
    <row r="19" spans="1:5">
      <c r="A19" s="49" t="s">
        <v>22</v>
      </c>
      <c r="B19" s="50" t="s">
        <v>126</v>
      </c>
      <c r="C19" s="50" t="s">
        <v>123</v>
      </c>
      <c r="D19" s="51">
        <v>1999</v>
      </c>
      <c r="E19" s="50" t="s">
        <v>22</v>
      </c>
    </row>
    <row r="20" spans="1:5">
      <c r="A20" s="49" t="s">
        <v>22</v>
      </c>
      <c r="B20" s="50" t="s">
        <v>306</v>
      </c>
      <c r="C20" s="50" t="s">
        <v>307</v>
      </c>
      <c r="D20" s="51">
        <v>2019</v>
      </c>
      <c r="E20" s="50" t="s">
        <v>22</v>
      </c>
    </row>
    <row r="21" spans="1:5">
      <c r="A21" s="49" t="s">
        <v>22</v>
      </c>
      <c r="B21" s="50" t="s">
        <v>134</v>
      </c>
      <c r="C21" s="50" t="s">
        <v>308</v>
      </c>
      <c r="D21" s="51">
        <v>2018</v>
      </c>
      <c r="E21" s="50" t="s">
        <v>22</v>
      </c>
    </row>
    <row r="22" spans="1:5">
      <c r="A22" s="49" t="s">
        <v>22</v>
      </c>
      <c r="B22" s="50" t="s">
        <v>309</v>
      </c>
      <c r="C22" s="50" t="s">
        <v>310</v>
      </c>
      <c r="D22" s="51">
        <v>2016</v>
      </c>
      <c r="E22" s="50">
        <v>1650</v>
      </c>
    </row>
    <row r="23" spans="1:5">
      <c r="A23" s="49" t="s">
        <v>22</v>
      </c>
      <c r="B23" s="50" t="s">
        <v>311</v>
      </c>
      <c r="C23" s="50" t="s">
        <v>312</v>
      </c>
      <c r="D23" s="51">
        <v>2019</v>
      </c>
      <c r="E23" s="50">
        <v>935</v>
      </c>
    </row>
    <row r="24" spans="1:5">
      <c r="A24" s="49" t="s">
        <v>22</v>
      </c>
      <c r="B24" s="50" t="s">
        <v>137</v>
      </c>
      <c r="C24" s="50" t="s">
        <v>127</v>
      </c>
      <c r="D24" s="51">
        <v>2001</v>
      </c>
      <c r="E24" s="50">
        <v>999</v>
      </c>
    </row>
    <row r="25" spans="1:5">
      <c r="A25" s="49" t="s">
        <v>22</v>
      </c>
      <c r="B25" s="50" t="s">
        <v>137</v>
      </c>
      <c r="C25" s="50" t="s">
        <v>313</v>
      </c>
      <c r="D25" s="51">
        <v>2004</v>
      </c>
      <c r="E25" s="50">
        <v>1648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Northern Rhone"/>
  <dimension ref="A1:H14"/>
  <sheetViews>
    <sheetView workbookViewId="0"/>
  </sheetViews>
  <sheetFormatPr defaultColWidth="14.21875" defaultRowHeight="18" customHeight="1"/>
  <cols>
    <col min="2" max="2" width="16.21875" customWidth="1"/>
    <col min="4" max="4" width="22.6640625" customWidth="1"/>
    <col min="9" max="9" width="22.6640625" customWidth="1"/>
  </cols>
  <sheetData>
    <row r="1" spans="1:8">
      <c r="A1" s="55" t="s">
        <v>1</v>
      </c>
      <c r="B1" s="55" t="s">
        <v>314</v>
      </c>
      <c r="C1" s="55" t="s">
        <v>5</v>
      </c>
      <c r="D1" s="55" t="s">
        <v>6</v>
      </c>
      <c r="E1" s="55" t="s">
        <v>8</v>
      </c>
      <c r="F1" s="56" t="s">
        <v>258</v>
      </c>
      <c r="G1" s="56" t="s">
        <v>12</v>
      </c>
      <c r="H1" s="56" t="s">
        <v>315</v>
      </c>
    </row>
    <row r="2" spans="1:8">
      <c r="A2" s="46">
        <f t="shared" ref="A2:A13" si="0">ROW()-1</f>
        <v>1</v>
      </c>
      <c r="B2" s="57" t="s">
        <v>316</v>
      </c>
      <c r="C2" s="58"/>
      <c r="D2" s="58"/>
      <c r="E2" s="59"/>
      <c r="F2" s="60">
        <v>2400</v>
      </c>
      <c r="G2" s="60">
        <v>2577</v>
      </c>
      <c r="H2" s="61"/>
    </row>
    <row r="3" spans="1:8">
      <c r="A3" s="46">
        <f t="shared" si="0"/>
        <v>2</v>
      </c>
      <c r="B3" s="58" t="s">
        <v>105</v>
      </c>
      <c r="C3" s="58"/>
      <c r="D3" s="58"/>
      <c r="E3" s="59"/>
      <c r="F3" s="60">
        <v>2100</v>
      </c>
      <c r="G3" s="60" t="s">
        <v>317</v>
      </c>
      <c r="H3" s="61"/>
    </row>
    <row r="4" spans="1:8">
      <c r="A4" s="46">
        <f t="shared" si="0"/>
        <v>3</v>
      </c>
      <c r="B4" s="62" t="s">
        <v>107</v>
      </c>
      <c r="C4" s="63"/>
      <c r="D4" s="63"/>
      <c r="E4" s="64"/>
      <c r="F4" s="60">
        <v>2280</v>
      </c>
      <c r="G4" s="60">
        <v>2266</v>
      </c>
      <c r="H4" s="61">
        <f t="shared" ref="H4:H9" si="1">F4/G4</f>
        <v>1.0061782877316858</v>
      </c>
    </row>
    <row r="5" spans="1:8">
      <c r="A5" s="46">
        <f t="shared" si="0"/>
        <v>4</v>
      </c>
      <c r="B5" s="62" t="s">
        <v>110</v>
      </c>
      <c r="C5" s="63"/>
      <c r="D5" s="63"/>
      <c r="E5" s="64"/>
      <c r="F5" s="60">
        <v>2380</v>
      </c>
      <c r="G5" s="60">
        <v>2814</v>
      </c>
      <c r="H5" s="61">
        <f t="shared" si="1"/>
        <v>0.845771144278607</v>
      </c>
    </row>
    <row r="6" spans="1:8">
      <c r="A6" s="46">
        <f t="shared" si="0"/>
        <v>5</v>
      </c>
      <c r="B6" s="62" t="s">
        <v>110</v>
      </c>
      <c r="C6" s="63"/>
      <c r="D6" s="63"/>
      <c r="E6" s="64"/>
      <c r="F6" s="60">
        <v>2380</v>
      </c>
      <c r="G6" s="60">
        <v>2379</v>
      </c>
      <c r="H6" s="61">
        <f t="shared" si="1"/>
        <v>1.0004203446826399</v>
      </c>
    </row>
    <row r="7" spans="1:8">
      <c r="A7" s="46">
        <f t="shared" si="0"/>
        <v>6</v>
      </c>
      <c r="B7" s="65" t="s">
        <v>123</v>
      </c>
      <c r="C7" s="66"/>
      <c r="D7" s="66"/>
      <c r="E7" s="67"/>
      <c r="F7" s="60">
        <v>1980</v>
      </c>
      <c r="G7" s="60">
        <v>2153</v>
      </c>
      <c r="H7" s="61">
        <f t="shared" si="1"/>
        <v>0.91964700418021361</v>
      </c>
    </row>
    <row r="8" spans="1:8">
      <c r="A8" s="46">
        <f t="shared" si="0"/>
        <v>7</v>
      </c>
      <c r="B8" s="65" t="s">
        <v>123</v>
      </c>
      <c r="C8" s="66"/>
      <c r="D8" s="66"/>
      <c r="E8" s="67"/>
      <c r="F8" s="60">
        <v>2380</v>
      </c>
      <c r="G8" s="60">
        <v>2191</v>
      </c>
      <c r="H8" s="61">
        <f t="shared" si="1"/>
        <v>1.0862619808306708</v>
      </c>
    </row>
    <row r="9" spans="1:8">
      <c r="A9" s="46">
        <f t="shared" si="0"/>
        <v>8</v>
      </c>
      <c r="B9" s="65" t="s">
        <v>123</v>
      </c>
      <c r="C9" s="66"/>
      <c r="D9" s="66"/>
      <c r="E9" s="67"/>
      <c r="F9" s="60">
        <v>1980</v>
      </c>
      <c r="G9" s="60">
        <v>2106</v>
      </c>
      <c r="H9" s="61">
        <f t="shared" si="1"/>
        <v>0.94017094017094016</v>
      </c>
    </row>
    <row r="10" spans="1:8">
      <c r="A10" s="46">
        <f t="shared" si="0"/>
        <v>9</v>
      </c>
      <c r="B10" s="68" t="s">
        <v>318</v>
      </c>
      <c r="C10" s="68"/>
      <c r="D10" s="68"/>
      <c r="E10" s="69"/>
      <c r="F10" s="60"/>
      <c r="G10" s="60"/>
      <c r="H10" s="61"/>
    </row>
    <row r="11" spans="1:8">
      <c r="A11" s="46">
        <f t="shared" si="0"/>
        <v>10</v>
      </c>
      <c r="B11" s="68" t="s">
        <v>140</v>
      </c>
      <c r="C11" s="70"/>
      <c r="D11" s="70"/>
      <c r="E11" s="71"/>
      <c r="F11" s="60">
        <v>2680</v>
      </c>
      <c r="G11" s="60">
        <v>3140</v>
      </c>
      <c r="H11" s="61">
        <f>F11/G11</f>
        <v>0.85350318471337583</v>
      </c>
    </row>
    <row r="12" spans="1:8">
      <c r="A12" s="46">
        <f t="shared" si="0"/>
        <v>11</v>
      </c>
      <c r="B12" s="68" t="s">
        <v>140</v>
      </c>
      <c r="C12" s="70"/>
      <c r="D12" s="70"/>
      <c r="E12" s="71"/>
      <c r="F12" s="60">
        <v>2680</v>
      </c>
      <c r="G12" s="60">
        <v>2933</v>
      </c>
      <c r="H12" s="61">
        <f>F12/G12</f>
        <v>0.91374019774974424</v>
      </c>
    </row>
    <row r="13" spans="1:8">
      <c r="A13" s="46">
        <f t="shared" si="0"/>
        <v>12</v>
      </c>
      <c r="B13" s="68" t="s">
        <v>154</v>
      </c>
      <c r="C13" s="70"/>
      <c r="D13" s="70"/>
      <c r="E13" s="71"/>
      <c r="F13" s="60">
        <v>2680</v>
      </c>
      <c r="G13" s="60">
        <v>2867</v>
      </c>
      <c r="H13" s="61">
        <f>F13/G13</f>
        <v>0.93477502615974883</v>
      </c>
    </row>
    <row r="14" spans="1:8">
      <c r="A14" s="32" t="s">
        <v>319</v>
      </c>
      <c r="B14" s="32"/>
      <c r="C14" s="32"/>
      <c r="D14" s="32"/>
      <c r="E14" s="32"/>
      <c r="F14" s="72">
        <f>SUM(F2:F13)</f>
        <v>25920</v>
      </c>
      <c r="G14" s="72">
        <f>SUM(G4:G13)</f>
        <v>22849</v>
      </c>
      <c r="H14" s="61">
        <f>F14/G14</f>
        <v>1.1344041314718369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CoteRotie2"/>
  <dimension ref="A1:F26"/>
  <sheetViews>
    <sheetView workbookViewId="0"/>
  </sheetViews>
  <sheetFormatPr defaultColWidth="14.21875" defaultRowHeight="18" customHeight="1"/>
  <cols>
    <col min="1" max="1" width="9.6640625" customWidth="1"/>
    <col min="2" max="2" width="45.6640625" customWidth="1"/>
    <col min="3" max="3" width="42.6640625" customWidth="1"/>
    <col min="4" max="6" width="9.6640625" customWidth="1"/>
  </cols>
  <sheetData>
    <row r="1" spans="1:6">
      <c r="A1" s="43" t="s">
        <v>1</v>
      </c>
      <c r="B1" s="44" t="s">
        <v>5</v>
      </c>
      <c r="C1" s="44" t="s">
        <v>6</v>
      </c>
      <c r="D1" s="44" t="s">
        <v>8</v>
      </c>
      <c r="E1" s="45" t="s">
        <v>258</v>
      </c>
      <c r="F1" s="54"/>
    </row>
    <row r="2" spans="1:6">
      <c r="A2" s="73">
        <v>1</v>
      </c>
      <c r="B2" s="47" t="s">
        <v>105</v>
      </c>
      <c r="C2" s="47" t="s">
        <v>105</v>
      </c>
      <c r="D2" s="48">
        <v>2016</v>
      </c>
      <c r="E2" s="47">
        <v>2400</v>
      </c>
      <c r="F2" s="54"/>
    </row>
    <row r="3" spans="1:6">
      <c r="A3" s="74">
        <v>2</v>
      </c>
      <c r="B3" s="47" t="s">
        <v>105</v>
      </c>
      <c r="C3" s="47" t="s">
        <v>105</v>
      </c>
      <c r="D3" s="48">
        <v>1985</v>
      </c>
      <c r="E3" s="47">
        <v>2100</v>
      </c>
      <c r="F3" s="54"/>
    </row>
    <row r="4" spans="1:6">
      <c r="A4" s="74">
        <v>3</v>
      </c>
      <c r="B4" s="50" t="s">
        <v>108</v>
      </c>
      <c r="C4" s="50" t="s">
        <v>109</v>
      </c>
      <c r="D4" s="51">
        <v>2020</v>
      </c>
      <c r="E4" s="50">
        <v>1050</v>
      </c>
      <c r="F4" s="54"/>
    </row>
    <row r="5" spans="1:6">
      <c r="A5" s="75">
        <v>4</v>
      </c>
      <c r="B5" s="76" t="s">
        <v>108</v>
      </c>
      <c r="C5" s="76" t="s">
        <v>296</v>
      </c>
      <c r="D5" s="77">
        <v>2014</v>
      </c>
      <c r="E5" s="76">
        <v>568</v>
      </c>
      <c r="F5" s="54"/>
    </row>
    <row r="6" spans="1:6">
      <c r="A6" s="75">
        <v>5</v>
      </c>
      <c r="B6" s="50" t="s">
        <v>124</v>
      </c>
      <c r="C6" s="50" t="s">
        <v>299</v>
      </c>
      <c r="D6" s="51">
        <v>1990</v>
      </c>
      <c r="E6" s="50">
        <v>990</v>
      </c>
      <c r="F6" s="54"/>
    </row>
    <row r="7" spans="1:6">
      <c r="A7" s="75">
        <v>6</v>
      </c>
      <c r="B7" s="50" t="s">
        <v>128</v>
      </c>
      <c r="C7" s="50" t="s">
        <v>129</v>
      </c>
      <c r="D7" s="51">
        <v>2009</v>
      </c>
      <c r="E7" s="50">
        <v>1680</v>
      </c>
      <c r="F7" s="54"/>
    </row>
    <row r="8" spans="1:6">
      <c r="A8" s="75">
        <v>7</v>
      </c>
      <c r="B8" s="50" t="s">
        <v>137</v>
      </c>
      <c r="C8" s="78" t="s">
        <v>127</v>
      </c>
      <c r="D8" s="51">
        <v>2001</v>
      </c>
      <c r="E8" s="50">
        <v>1180</v>
      </c>
      <c r="F8" s="54"/>
    </row>
    <row r="9" spans="1:6">
      <c r="A9" s="75">
        <v>8</v>
      </c>
      <c r="B9" s="50" t="s">
        <v>137</v>
      </c>
      <c r="C9" s="50" t="s">
        <v>300</v>
      </c>
      <c r="D9" s="51">
        <v>2016</v>
      </c>
      <c r="E9" s="50">
        <v>2380</v>
      </c>
      <c r="F9" s="54"/>
    </row>
    <row r="10" spans="1:6">
      <c r="A10" s="75">
        <v>9</v>
      </c>
      <c r="B10" s="50" t="s">
        <v>126</v>
      </c>
      <c r="C10" s="50" t="s">
        <v>123</v>
      </c>
      <c r="D10" s="51">
        <v>1999</v>
      </c>
      <c r="E10" s="50">
        <v>3500</v>
      </c>
      <c r="F10" s="54"/>
    </row>
    <row r="11" spans="1:6">
      <c r="A11" s="75">
        <v>10</v>
      </c>
      <c r="B11" s="50" t="s">
        <v>134</v>
      </c>
      <c r="C11" s="50" t="s">
        <v>135</v>
      </c>
      <c r="D11" s="51">
        <v>2004</v>
      </c>
      <c r="E11" s="50">
        <v>2280</v>
      </c>
      <c r="F11" s="54"/>
    </row>
    <row r="12" spans="1:6">
      <c r="A12" s="75">
        <v>11</v>
      </c>
      <c r="B12" s="50" t="s">
        <v>134</v>
      </c>
      <c r="C12" s="50" t="s">
        <v>136</v>
      </c>
      <c r="D12" s="51">
        <v>2012</v>
      </c>
      <c r="E12" s="50">
        <v>2680</v>
      </c>
      <c r="F12" s="54"/>
    </row>
    <row r="13" spans="1:6">
      <c r="A13" s="75">
        <v>12</v>
      </c>
      <c r="B13" s="50" t="s">
        <v>134</v>
      </c>
      <c r="C13" s="50" t="s">
        <v>129</v>
      </c>
      <c r="D13" s="51">
        <v>2014</v>
      </c>
      <c r="E13" s="50">
        <v>2380</v>
      </c>
      <c r="F13" s="54"/>
    </row>
    <row r="14" spans="1:6">
      <c r="A14" s="54"/>
      <c r="B14" s="54"/>
      <c r="C14" s="54"/>
      <c r="D14" s="54"/>
      <c r="E14" s="54"/>
      <c r="F14" s="54"/>
    </row>
    <row r="15" spans="1:6">
      <c r="A15" s="54"/>
      <c r="B15" s="54"/>
      <c r="C15" s="54"/>
      <c r="D15" s="54"/>
      <c r="E15" s="54"/>
      <c r="F15" s="54"/>
    </row>
    <row r="16" spans="1:6">
      <c r="A16" s="54"/>
      <c r="B16" s="54"/>
      <c r="C16" s="54"/>
      <c r="D16" s="54"/>
      <c r="E16" s="54"/>
      <c r="F16" s="54"/>
    </row>
    <row r="17" spans="1:6">
      <c r="A17" s="46" t="s">
        <v>22</v>
      </c>
      <c r="B17" s="47" t="s">
        <v>301</v>
      </c>
      <c r="C17" s="47" t="s">
        <v>302</v>
      </c>
      <c r="D17" s="48">
        <v>2020</v>
      </c>
      <c r="E17" s="47" t="s">
        <v>22</v>
      </c>
      <c r="F17" s="54"/>
    </row>
    <row r="18" spans="1:6">
      <c r="A18" s="49" t="s">
        <v>22</v>
      </c>
      <c r="B18" s="50" t="s">
        <v>152</v>
      </c>
      <c r="C18" s="50" t="s">
        <v>303</v>
      </c>
      <c r="D18" s="51">
        <v>2017</v>
      </c>
      <c r="E18" s="50" t="s">
        <v>22</v>
      </c>
      <c r="F18" s="54"/>
    </row>
    <row r="19" spans="1:6">
      <c r="A19" s="49" t="s">
        <v>22</v>
      </c>
      <c r="B19" s="50" t="s">
        <v>108</v>
      </c>
      <c r="C19" s="50" t="s">
        <v>109</v>
      </c>
      <c r="D19" s="51">
        <v>2020</v>
      </c>
      <c r="E19" s="50" t="s">
        <v>22</v>
      </c>
      <c r="F19" s="54"/>
    </row>
    <row r="20" spans="1:6">
      <c r="A20" s="49" t="s">
        <v>22</v>
      </c>
      <c r="B20" s="50" t="s">
        <v>126</v>
      </c>
      <c r="C20" s="50" t="s">
        <v>123</v>
      </c>
      <c r="D20" s="51">
        <v>1999</v>
      </c>
      <c r="E20" s="50" t="s">
        <v>22</v>
      </c>
      <c r="F20" s="54"/>
    </row>
    <row r="21" spans="1:6">
      <c r="A21" s="49" t="s">
        <v>22</v>
      </c>
      <c r="B21" s="50" t="s">
        <v>306</v>
      </c>
      <c r="C21" s="50" t="s">
        <v>307</v>
      </c>
      <c r="D21" s="51">
        <v>2019</v>
      </c>
      <c r="E21" s="50" t="s">
        <v>22</v>
      </c>
      <c r="F21" s="54"/>
    </row>
    <row r="22" spans="1:6">
      <c r="A22" s="49" t="s">
        <v>22</v>
      </c>
      <c r="B22" s="50" t="s">
        <v>134</v>
      </c>
      <c r="C22" s="50" t="s">
        <v>308</v>
      </c>
      <c r="D22" s="51">
        <v>2018</v>
      </c>
      <c r="E22" s="50" t="s">
        <v>22</v>
      </c>
      <c r="F22" s="54"/>
    </row>
    <row r="23" spans="1:6">
      <c r="A23" s="49" t="s">
        <v>22</v>
      </c>
      <c r="B23" s="50" t="s">
        <v>309</v>
      </c>
      <c r="C23" s="50" t="s">
        <v>310</v>
      </c>
      <c r="D23" s="51">
        <v>2016</v>
      </c>
      <c r="E23" s="50">
        <v>1650</v>
      </c>
      <c r="F23" s="54" t="s">
        <v>144</v>
      </c>
    </row>
    <row r="24" spans="1:6">
      <c r="A24" s="49" t="s">
        <v>22</v>
      </c>
      <c r="B24" s="50" t="s">
        <v>311</v>
      </c>
      <c r="C24" s="50" t="s">
        <v>312</v>
      </c>
      <c r="D24" s="51">
        <v>2019</v>
      </c>
      <c r="E24" s="50">
        <v>935</v>
      </c>
      <c r="F24" s="54" t="s">
        <v>320</v>
      </c>
    </row>
    <row r="25" spans="1:6">
      <c r="A25" s="49" t="s">
        <v>22</v>
      </c>
      <c r="B25" s="50" t="s">
        <v>137</v>
      </c>
      <c r="C25" s="50" t="s">
        <v>127</v>
      </c>
      <c r="D25" s="51">
        <v>2001</v>
      </c>
      <c r="E25" s="50">
        <v>999</v>
      </c>
      <c r="F25" s="54"/>
    </row>
    <row r="26" spans="1:6">
      <c r="A26" s="49" t="s">
        <v>22</v>
      </c>
      <c r="B26" s="50" t="s">
        <v>137</v>
      </c>
      <c r="C26" s="50" t="s">
        <v>313</v>
      </c>
      <c r="D26" s="51">
        <v>2004</v>
      </c>
      <c r="E26" s="50">
        <v>1648</v>
      </c>
      <c r="F26" s="54" t="s">
        <v>321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Cornas"/>
  <dimension ref="A1:E11"/>
  <sheetViews>
    <sheetView workbookViewId="0"/>
  </sheetViews>
  <sheetFormatPr defaultColWidth="14.21875" defaultRowHeight="18" customHeight="1"/>
  <cols>
    <col min="1" max="1" width="9.6640625" customWidth="1"/>
    <col min="2" max="2" width="33.88671875" customWidth="1"/>
    <col min="3" max="3" width="29.6640625" customWidth="1"/>
    <col min="4" max="5" width="9.6640625" customWidth="1"/>
  </cols>
  <sheetData>
    <row r="1" spans="1:5">
      <c r="A1" s="55" t="s">
        <v>1</v>
      </c>
      <c r="B1" s="79" t="s">
        <v>5</v>
      </c>
      <c r="C1" s="79" t="s">
        <v>6</v>
      </c>
      <c r="D1" s="79" t="s">
        <v>8</v>
      </c>
      <c r="E1" s="79" t="s">
        <v>258</v>
      </c>
    </row>
    <row r="2" spans="1:5">
      <c r="A2" s="49">
        <f t="shared" ref="A2:A11" si="0">ROW()-1</f>
        <v>1</v>
      </c>
      <c r="B2" s="50"/>
      <c r="C2" s="50"/>
      <c r="D2" s="51"/>
      <c r="E2" s="50" t="s">
        <v>22</v>
      </c>
    </row>
    <row r="3" spans="1:5">
      <c r="A3" s="49">
        <f t="shared" si="0"/>
        <v>2</v>
      </c>
      <c r="B3" s="50" t="s">
        <v>114</v>
      </c>
      <c r="C3" s="50" t="s">
        <v>115</v>
      </c>
      <c r="D3" s="51">
        <v>2020</v>
      </c>
      <c r="E3" s="50" t="s">
        <v>22</v>
      </c>
    </row>
    <row r="4" spans="1:5">
      <c r="A4" s="49">
        <f t="shared" si="0"/>
        <v>3</v>
      </c>
      <c r="B4" s="50" t="s">
        <v>116</v>
      </c>
      <c r="C4" s="50" t="s">
        <v>117</v>
      </c>
      <c r="D4" s="51">
        <v>2021</v>
      </c>
      <c r="E4" s="50" t="s">
        <v>22</v>
      </c>
    </row>
    <row r="5" spans="1:5">
      <c r="A5" s="49">
        <f t="shared" si="0"/>
        <v>4</v>
      </c>
      <c r="B5" s="50" t="s">
        <v>119</v>
      </c>
      <c r="C5" s="50" t="s">
        <v>110</v>
      </c>
      <c r="D5" s="51">
        <v>2019</v>
      </c>
      <c r="E5" s="50" t="s">
        <v>22</v>
      </c>
    </row>
    <row r="6" spans="1:5">
      <c r="A6" s="49">
        <f t="shared" si="0"/>
        <v>5</v>
      </c>
      <c r="B6" s="50" t="s">
        <v>111</v>
      </c>
      <c r="C6" s="50" t="s">
        <v>112</v>
      </c>
      <c r="D6" s="51">
        <v>2020</v>
      </c>
      <c r="E6" s="50" t="s">
        <v>22</v>
      </c>
    </row>
    <row r="7" spans="1:5">
      <c r="A7" s="80">
        <f t="shared" si="0"/>
        <v>6</v>
      </c>
      <c r="B7" s="50" t="s">
        <v>322</v>
      </c>
      <c r="C7" s="50" t="s">
        <v>323</v>
      </c>
      <c r="D7" s="50" t="s">
        <v>22</v>
      </c>
      <c r="E7" s="50" t="s">
        <v>22</v>
      </c>
    </row>
    <row r="8" spans="1:5">
      <c r="A8" s="80">
        <f t="shared" si="0"/>
        <v>7</v>
      </c>
      <c r="B8" s="50" t="s">
        <v>324</v>
      </c>
      <c r="C8" s="50" t="s">
        <v>122</v>
      </c>
      <c r="D8" s="50" t="s">
        <v>22</v>
      </c>
      <c r="E8" s="50" t="s">
        <v>325</v>
      </c>
    </row>
    <row r="9" spans="1:5">
      <c r="A9" s="49">
        <f t="shared" si="0"/>
        <v>8</v>
      </c>
      <c r="B9" s="50"/>
      <c r="C9" s="50"/>
      <c r="D9" s="51"/>
      <c r="E9" s="50" t="s">
        <v>22</v>
      </c>
    </row>
    <row r="10" spans="1:5">
      <c r="A10" s="49">
        <f t="shared" si="0"/>
        <v>9</v>
      </c>
      <c r="B10" s="50" t="s">
        <v>113</v>
      </c>
      <c r="C10" s="50" t="s">
        <v>110</v>
      </c>
      <c r="D10" s="51">
        <v>2012</v>
      </c>
      <c r="E10" s="50" t="s">
        <v>22</v>
      </c>
    </row>
    <row r="11" spans="1:5">
      <c r="A11" s="49">
        <f t="shared" si="0"/>
        <v>10</v>
      </c>
      <c r="B11" s="50" t="s">
        <v>121</v>
      </c>
      <c r="C11" s="50" t="s">
        <v>122</v>
      </c>
      <c r="D11" s="51">
        <v>2011</v>
      </c>
      <c r="E11" s="50" t="s">
        <v>22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yrah"/>
  <dimension ref="A1"/>
  <sheetViews>
    <sheetView workbookViewId="0"/>
  </sheetViews>
  <sheetFormatPr defaultColWidth="14.21875" defaultRowHeight="18" customHeight="1"/>
  <sheetData/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ougeard"/>
  <dimension ref="A1:E11"/>
  <sheetViews>
    <sheetView workbookViewId="0"/>
  </sheetViews>
  <sheetFormatPr defaultColWidth="14.21875" defaultRowHeight="18" customHeight="1"/>
  <cols>
    <col min="1" max="1" width="9.6640625" customWidth="1"/>
    <col min="2" max="2" width="51.6640625" customWidth="1"/>
    <col min="3" max="3" width="32.6640625" customWidth="1"/>
    <col min="4" max="4" width="8.6640625" customWidth="1"/>
    <col min="5" max="5" width="9.6640625" customWidth="1"/>
  </cols>
  <sheetData>
    <row r="1" spans="1:5">
      <c r="A1" s="55" t="s">
        <v>1</v>
      </c>
      <c r="B1" s="79" t="s">
        <v>5</v>
      </c>
      <c r="C1" s="79" t="s">
        <v>6</v>
      </c>
      <c r="D1" s="79" t="s">
        <v>8</v>
      </c>
      <c r="E1" s="79" t="s">
        <v>258</v>
      </c>
    </row>
    <row r="2" spans="1:5">
      <c r="A2" s="81">
        <f t="shared" ref="A2:A11" si="0">ROW()-1</f>
        <v>1</v>
      </c>
      <c r="B2" s="50" t="s">
        <v>101</v>
      </c>
      <c r="C2" s="50" t="s">
        <v>326</v>
      </c>
      <c r="D2" s="82" t="s">
        <v>22</v>
      </c>
      <c r="E2" s="82" t="s">
        <v>22</v>
      </c>
    </row>
    <row r="3" spans="1:5">
      <c r="A3" s="81">
        <f t="shared" si="0"/>
        <v>2</v>
      </c>
      <c r="B3" s="50"/>
      <c r="C3" s="50"/>
      <c r="D3" s="51"/>
      <c r="E3" s="51">
        <v>512</v>
      </c>
    </row>
    <row r="4" spans="1:5">
      <c r="A4" s="81">
        <f t="shared" si="0"/>
        <v>3</v>
      </c>
      <c r="B4" s="50"/>
      <c r="C4" s="50"/>
      <c r="D4" s="51" t="s">
        <v>22</v>
      </c>
      <c r="E4" s="51" t="s">
        <v>22</v>
      </c>
    </row>
    <row r="5" spans="1:5">
      <c r="A5" s="81">
        <f t="shared" si="0"/>
        <v>4</v>
      </c>
      <c r="B5" s="50"/>
      <c r="C5" s="50"/>
      <c r="D5" s="82" t="s">
        <v>22</v>
      </c>
      <c r="E5" s="82" t="s">
        <v>22</v>
      </c>
    </row>
    <row r="6" spans="1:5">
      <c r="A6" s="83">
        <f t="shared" si="0"/>
        <v>5</v>
      </c>
      <c r="B6" s="50" t="s">
        <v>88</v>
      </c>
      <c r="C6" s="50" t="s">
        <v>89</v>
      </c>
      <c r="D6" s="51">
        <v>2013</v>
      </c>
      <c r="E6" s="50" t="s">
        <v>22</v>
      </c>
    </row>
    <row r="7" spans="1:5">
      <c r="A7" s="83">
        <f t="shared" si="0"/>
        <v>6</v>
      </c>
      <c r="B7" s="50"/>
      <c r="C7" s="50"/>
      <c r="D7" s="51"/>
      <c r="E7" s="50" t="s">
        <v>22</v>
      </c>
    </row>
    <row r="8" spans="1:5">
      <c r="A8" s="83">
        <f t="shared" si="0"/>
        <v>7</v>
      </c>
      <c r="B8" s="50" t="s">
        <v>101</v>
      </c>
      <c r="C8" s="50" t="s">
        <v>102</v>
      </c>
      <c r="D8" s="51">
        <v>2007</v>
      </c>
      <c r="E8" s="50" t="s">
        <v>22</v>
      </c>
    </row>
    <row r="9" spans="1:5">
      <c r="A9" s="83">
        <f t="shared" si="0"/>
        <v>8</v>
      </c>
      <c r="B9" s="50" t="s">
        <v>101</v>
      </c>
      <c r="C9" s="50" t="s">
        <v>102</v>
      </c>
      <c r="D9" s="51">
        <v>1996</v>
      </c>
      <c r="E9" s="50" t="s">
        <v>22</v>
      </c>
    </row>
    <row r="10" spans="1:5">
      <c r="A10" s="84">
        <f t="shared" si="0"/>
        <v>9</v>
      </c>
      <c r="B10" s="50" t="s">
        <v>101</v>
      </c>
      <c r="C10" s="50" t="s">
        <v>103</v>
      </c>
      <c r="D10" s="51">
        <v>2008</v>
      </c>
      <c r="E10" s="50" t="s">
        <v>22</v>
      </c>
    </row>
    <row r="11" spans="1:5">
      <c r="A11" s="84">
        <f t="shared" si="0"/>
        <v>10</v>
      </c>
      <c r="B11" s="50" t="s">
        <v>101</v>
      </c>
      <c r="C11" s="50" t="s">
        <v>103</v>
      </c>
      <c r="D11" s="51">
        <v>2009</v>
      </c>
      <c r="E11" s="50" t="s">
        <v>22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KShippment2405"/>
  <dimension ref="A1:K19"/>
  <sheetViews>
    <sheetView workbookViewId="0"/>
  </sheetViews>
  <sheetFormatPr defaultColWidth="14.21875" defaultRowHeight="18" customHeight="1"/>
  <cols>
    <col min="1" max="2" width="9.6640625" customWidth="1"/>
    <col min="3" max="3" width="15.6640625" customWidth="1"/>
    <col min="4" max="4" width="26.6640625" customWidth="1"/>
    <col min="5" max="5" width="42.6640625" customWidth="1"/>
    <col min="6" max="11" width="9.6640625" customWidth="1"/>
  </cols>
  <sheetData>
    <row r="1" spans="1:11">
      <c r="A1" s="55" t="s">
        <v>1</v>
      </c>
      <c r="B1" s="79" t="s">
        <v>2</v>
      </c>
      <c r="C1" s="79" t="s">
        <v>3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258</v>
      </c>
      <c r="J1" s="79" t="s">
        <v>327</v>
      </c>
      <c r="K1" s="45" t="s">
        <v>328</v>
      </c>
    </row>
    <row r="2" spans="1:11">
      <c r="A2" s="49">
        <v>1</v>
      </c>
      <c r="B2" s="50" t="s">
        <v>44</v>
      </c>
      <c r="C2" s="50" t="s">
        <v>86</v>
      </c>
      <c r="D2" s="50" t="s">
        <v>329</v>
      </c>
      <c r="E2" s="50" t="s">
        <v>330</v>
      </c>
      <c r="F2" s="50" t="s">
        <v>75</v>
      </c>
      <c r="G2" s="51">
        <v>2013</v>
      </c>
      <c r="H2" s="50">
        <v>3</v>
      </c>
      <c r="I2" s="50">
        <v>500</v>
      </c>
      <c r="J2" s="50">
        <v>100</v>
      </c>
      <c r="K2" s="47">
        <v>300</v>
      </c>
    </row>
    <row r="3" spans="1:11">
      <c r="A3" s="49">
        <v>2</v>
      </c>
      <c r="B3" s="50" t="s">
        <v>44</v>
      </c>
      <c r="C3" s="50" t="s">
        <v>86</v>
      </c>
      <c r="D3" s="50" t="s">
        <v>101</v>
      </c>
      <c r="E3" s="50" t="s">
        <v>103</v>
      </c>
      <c r="F3" s="50" t="s">
        <v>20</v>
      </c>
      <c r="G3" s="51">
        <v>2008</v>
      </c>
      <c r="H3" s="50">
        <v>1</v>
      </c>
      <c r="I3" s="50">
        <v>3000</v>
      </c>
      <c r="J3" s="50">
        <v>330</v>
      </c>
      <c r="K3" s="50">
        <v>330</v>
      </c>
    </row>
    <row r="4" spans="1:11">
      <c r="A4" s="49">
        <v>3</v>
      </c>
      <c r="B4" s="50" t="s">
        <v>44</v>
      </c>
      <c r="C4" s="50" t="s">
        <v>104</v>
      </c>
      <c r="D4" s="50" t="s">
        <v>126</v>
      </c>
      <c r="E4" s="50" t="s">
        <v>123</v>
      </c>
      <c r="F4" s="50" t="s">
        <v>20</v>
      </c>
      <c r="G4" s="51">
        <v>1999</v>
      </c>
      <c r="H4" s="50">
        <v>1</v>
      </c>
      <c r="I4" s="50">
        <v>3000</v>
      </c>
      <c r="J4" s="50">
        <v>330</v>
      </c>
      <c r="K4" s="50">
        <v>330</v>
      </c>
    </row>
    <row r="5" spans="1:11">
      <c r="A5" s="49">
        <v>4</v>
      </c>
      <c r="B5" s="50" t="s">
        <v>44</v>
      </c>
      <c r="C5" s="50" t="s">
        <v>104</v>
      </c>
      <c r="D5" s="50" t="s">
        <v>126</v>
      </c>
      <c r="E5" s="50" t="s">
        <v>123</v>
      </c>
      <c r="F5" s="50" t="s">
        <v>20</v>
      </c>
      <c r="G5" s="51">
        <v>2005</v>
      </c>
      <c r="H5" s="50">
        <v>1</v>
      </c>
      <c r="I5" s="50">
        <v>1600</v>
      </c>
      <c r="J5" s="50">
        <v>200</v>
      </c>
      <c r="K5" s="50">
        <v>200</v>
      </c>
    </row>
    <row r="6" spans="1:11">
      <c r="A6" s="49">
        <v>5</v>
      </c>
      <c r="B6" s="50" t="s">
        <v>44</v>
      </c>
      <c r="C6" s="50" t="s">
        <v>104</v>
      </c>
      <c r="D6" s="50" t="s">
        <v>126</v>
      </c>
      <c r="E6" s="50" t="s">
        <v>123</v>
      </c>
      <c r="F6" s="50" t="s">
        <v>20</v>
      </c>
      <c r="G6" s="51">
        <v>2009</v>
      </c>
      <c r="H6" s="50">
        <v>1</v>
      </c>
      <c r="I6" s="50">
        <v>1800</v>
      </c>
      <c r="J6" s="50">
        <v>220</v>
      </c>
      <c r="K6" s="50">
        <v>220</v>
      </c>
    </row>
    <row r="7" spans="1:11">
      <c r="A7" s="49">
        <v>6</v>
      </c>
      <c r="B7" s="50" t="s">
        <v>44</v>
      </c>
      <c r="C7" s="50" t="s">
        <v>104</v>
      </c>
      <c r="D7" s="50" t="s">
        <v>134</v>
      </c>
      <c r="E7" s="50" t="s">
        <v>129</v>
      </c>
      <c r="F7" s="50" t="s">
        <v>20</v>
      </c>
      <c r="G7" s="51">
        <v>2003</v>
      </c>
      <c r="H7" s="50">
        <v>1</v>
      </c>
      <c r="I7" s="50">
        <v>3000</v>
      </c>
      <c r="J7" s="50">
        <v>330</v>
      </c>
      <c r="K7" s="50">
        <v>330</v>
      </c>
    </row>
    <row r="8" spans="1:11">
      <c r="A8" s="49">
        <v>7</v>
      </c>
      <c r="B8" s="50" t="s">
        <v>44</v>
      </c>
      <c r="C8" s="50" t="s">
        <v>104</v>
      </c>
      <c r="D8" s="50" t="s">
        <v>134</v>
      </c>
      <c r="E8" s="50" t="s">
        <v>129</v>
      </c>
      <c r="F8" s="50" t="s">
        <v>20</v>
      </c>
      <c r="G8" s="51">
        <v>2005</v>
      </c>
      <c r="H8" s="50">
        <v>1</v>
      </c>
      <c r="I8" s="50">
        <v>2500</v>
      </c>
      <c r="J8" s="50">
        <v>300</v>
      </c>
      <c r="K8" s="50">
        <v>300</v>
      </c>
    </row>
    <row r="9" spans="1:11">
      <c r="A9" s="49">
        <v>8</v>
      </c>
      <c r="B9" s="50" t="s">
        <v>44</v>
      </c>
      <c r="C9" s="50" t="s">
        <v>104</v>
      </c>
      <c r="D9" s="50" t="s">
        <v>134</v>
      </c>
      <c r="E9" s="50" t="s">
        <v>129</v>
      </c>
      <c r="F9" s="50" t="s">
        <v>20</v>
      </c>
      <c r="G9" s="51">
        <v>2007</v>
      </c>
      <c r="H9" s="50">
        <v>1</v>
      </c>
      <c r="I9" s="50">
        <v>2000</v>
      </c>
      <c r="J9" s="50">
        <v>240</v>
      </c>
      <c r="K9" s="50">
        <v>240</v>
      </c>
    </row>
    <row r="10" spans="1:11">
      <c r="A10" s="49">
        <v>9</v>
      </c>
      <c r="B10" s="50" t="s">
        <v>44</v>
      </c>
      <c r="C10" s="50" t="s">
        <v>104</v>
      </c>
      <c r="D10" s="50" t="s">
        <v>134</v>
      </c>
      <c r="E10" s="50" t="s">
        <v>135</v>
      </c>
      <c r="F10" s="50" t="s">
        <v>20</v>
      </c>
      <c r="G10" s="51">
        <v>2003</v>
      </c>
      <c r="H10" s="50">
        <v>2</v>
      </c>
      <c r="I10" s="50">
        <v>2400</v>
      </c>
      <c r="J10" s="50">
        <v>288</v>
      </c>
      <c r="K10" s="50">
        <v>576</v>
      </c>
    </row>
    <row r="11" spans="1:11">
      <c r="A11" s="49">
        <v>10</v>
      </c>
      <c r="B11" s="50" t="s">
        <v>44</v>
      </c>
      <c r="C11" s="50" t="s">
        <v>104</v>
      </c>
      <c r="D11" s="50" t="s">
        <v>134</v>
      </c>
      <c r="E11" s="50" t="s">
        <v>136</v>
      </c>
      <c r="F11" s="50" t="s">
        <v>20</v>
      </c>
      <c r="G11" s="51">
        <v>2003</v>
      </c>
      <c r="H11" s="50">
        <v>2</v>
      </c>
      <c r="I11" s="50">
        <v>3000</v>
      </c>
      <c r="J11" s="50">
        <v>330</v>
      </c>
      <c r="K11" s="50">
        <v>660</v>
      </c>
    </row>
    <row r="12" spans="1:11">
      <c r="A12" s="49">
        <v>11</v>
      </c>
      <c r="B12" s="50" t="s">
        <v>44</v>
      </c>
      <c r="C12" s="50" t="s">
        <v>104</v>
      </c>
      <c r="D12" s="50" t="s">
        <v>143</v>
      </c>
      <c r="E12" s="50" t="s">
        <v>140</v>
      </c>
      <c r="F12" s="50" t="s">
        <v>20</v>
      </c>
      <c r="G12" s="51">
        <v>1997</v>
      </c>
      <c r="H12" s="50">
        <v>1</v>
      </c>
      <c r="I12" s="50">
        <v>3500</v>
      </c>
      <c r="J12" s="50">
        <v>385</v>
      </c>
      <c r="K12" s="50">
        <v>385</v>
      </c>
    </row>
    <row r="13" spans="1:11">
      <c r="A13" s="49">
        <v>12</v>
      </c>
      <c r="B13" s="50" t="s">
        <v>44</v>
      </c>
      <c r="C13" s="50" t="s">
        <v>104</v>
      </c>
      <c r="D13" s="50" t="s">
        <v>143</v>
      </c>
      <c r="E13" s="50" t="s">
        <v>140</v>
      </c>
      <c r="F13" s="50" t="s">
        <v>20</v>
      </c>
      <c r="G13" s="51">
        <v>2003</v>
      </c>
      <c r="H13" s="50">
        <v>1</v>
      </c>
      <c r="I13" s="50">
        <v>4200</v>
      </c>
      <c r="J13" s="50">
        <v>462</v>
      </c>
      <c r="K13" s="50">
        <v>462</v>
      </c>
    </row>
    <row r="14" spans="1:11">
      <c r="A14" s="49">
        <v>13</v>
      </c>
      <c r="B14" s="50" t="s">
        <v>44</v>
      </c>
      <c r="C14" s="50" t="s">
        <v>104</v>
      </c>
      <c r="D14" s="50" t="s">
        <v>143</v>
      </c>
      <c r="E14" s="50" t="s">
        <v>140</v>
      </c>
      <c r="F14" s="50" t="s">
        <v>20</v>
      </c>
      <c r="G14" s="51">
        <v>2009</v>
      </c>
      <c r="H14" s="50">
        <v>1</v>
      </c>
      <c r="I14" s="50">
        <v>3500</v>
      </c>
      <c r="J14" s="50">
        <v>385</v>
      </c>
      <c r="K14" s="50">
        <v>385</v>
      </c>
    </row>
    <row r="15" spans="1:11">
      <c r="A15" s="49">
        <v>14</v>
      </c>
      <c r="B15" s="50" t="s">
        <v>44</v>
      </c>
      <c r="C15" s="50" t="s">
        <v>104</v>
      </c>
      <c r="D15" s="50" t="s">
        <v>149</v>
      </c>
      <c r="E15" s="50" t="s">
        <v>150</v>
      </c>
      <c r="F15" s="50" t="s">
        <v>20</v>
      </c>
      <c r="G15" s="51">
        <v>1998</v>
      </c>
      <c r="H15" s="50">
        <v>1</v>
      </c>
      <c r="I15" s="50">
        <v>2000</v>
      </c>
      <c r="J15" s="50">
        <v>240</v>
      </c>
      <c r="K15" s="50">
        <v>240</v>
      </c>
    </row>
    <row r="16" spans="1:11">
      <c r="A16" s="49">
        <v>15</v>
      </c>
      <c r="B16" s="50" t="s">
        <v>44</v>
      </c>
      <c r="C16" s="50" t="s">
        <v>104</v>
      </c>
      <c r="D16" s="50" t="s">
        <v>149</v>
      </c>
      <c r="E16" s="50" t="s">
        <v>150</v>
      </c>
      <c r="F16" s="50" t="s">
        <v>20</v>
      </c>
      <c r="G16" s="51">
        <v>2001</v>
      </c>
      <c r="H16" s="50">
        <v>1</v>
      </c>
      <c r="I16" s="50">
        <v>1800</v>
      </c>
      <c r="J16" s="50">
        <v>220</v>
      </c>
      <c r="K16" s="50">
        <v>220</v>
      </c>
    </row>
    <row r="17" spans="1:11">
      <c r="A17" s="49">
        <v>16</v>
      </c>
      <c r="B17" s="50" t="s">
        <v>44</v>
      </c>
      <c r="C17" s="50" t="s">
        <v>104</v>
      </c>
      <c r="D17" s="50" t="s">
        <v>149</v>
      </c>
      <c r="E17" s="50" t="s">
        <v>150</v>
      </c>
      <c r="F17" s="50" t="s">
        <v>20</v>
      </c>
      <c r="G17" s="51">
        <v>2004</v>
      </c>
      <c r="H17" s="50">
        <v>1</v>
      </c>
      <c r="I17" s="50">
        <v>1300</v>
      </c>
      <c r="J17" s="50">
        <v>170</v>
      </c>
      <c r="K17" s="50">
        <v>170</v>
      </c>
    </row>
    <row r="18" spans="1:11">
      <c r="A18" s="49">
        <v>17</v>
      </c>
      <c r="B18" s="50" t="s">
        <v>44</v>
      </c>
      <c r="C18" s="50" t="s">
        <v>104</v>
      </c>
      <c r="D18" s="50" t="s">
        <v>149</v>
      </c>
      <c r="E18" s="50" t="s">
        <v>150</v>
      </c>
      <c r="F18" s="50" t="s">
        <v>20</v>
      </c>
      <c r="G18" s="51">
        <v>2013</v>
      </c>
      <c r="H18" s="50">
        <v>1</v>
      </c>
      <c r="I18" s="50">
        <v>1400</v>
      </c>
      <c r="J18" s="50">
        <v>180</v>
      </c>
      <c r="K18" s="50">
        <v>180</v>
      </c>
    </row>
    <row r="19" spans="1:11">
      <c r="A19" s="49">
        <v>18</v>
      </c>
      <c r="B19" s="50" t="s">
        <v>44</v>
      </c>
      <c r="C19" s="50" t="s">
        <v>159</v>
      </c>
      <c r="D19" s="50" t="s">
        <v>166</v>
      </c>
      <c r="E19" s="50" t="s">
        <v>167</v>
      </c>
      <c r="F19" s="50" t="s">
        <v>20</v>
      </c>
      <c r="G19" s="51">
        <v>2010</v>
      </c>
      <c r="H19" s="50">
        <v>1</v>
      </c>
      <c r="I19" s="50">
        <v>4000</v>
      </c>
      <c r="J19" s="50">
        <v>440</v>
      </c>
      <c r="K19" s="50">
        <v>440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GCShippment2405"/>
  <dimension ref="A1:K10"/>
  <sheetViews>
    <sheetView workbookViewId="0"/>
  </sheetViews>
  <sheetFormatPr defaultColWidth="14.21875" defaultRowHeight="18" customHeight="1"/>
  <cols>
    <col min="1" max="2" width="9.6640625" customWidth="1"/>
    <col min="3" max="3" width="16.6640625" customWidth="1"/>
    <col min="4" max="4" width="28.6640625" customWidth="1"/>
    <col min="5" max="5" width="45.6640625" customWidth="1"/>
    <col min="6" max="11" width="9.6640625" customWidth="1"/>
  </cols>
  <sheetData>
    <row r="1" spans="1:11">
      <c r="A1" s="55" t="s">
        <v>1</v>
      </c>
      <c r="B1" s="79" t="s">
        <v>2</v>
      </c>
      <c r="C1" s="79" t="s">
        <v>3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258</v>
      </c>
      <c r="J1" s="79" t="s">
        <v>327</v>
      </c>
      <c r="K1" s="45" t="s">
        <v>328</v>
      </c>
    </row>
    <row r="2" spans="1:11">
      <c r="A2" s="49">
        <v>1</v>
      </c>
      <c r="B2" s="50" t="s">
        <v>44</v>
      </c>
      <c r="C2" s="50" t="s">
        <v>86</v>
      </c>
      <c r="D2" s="50" t="s">
        <v>329</v>
      </c>
      <c r="E2" s="50" t="s">
        <v>330</v>
      </c>
      <c r="F2" s="50" t="s">
        <v>75</v>
      </c>
      <c r="G2" s="51">
        <v>2013</v>
      </c>
      <c r="H2" s="50">
        <v>3</v>
      </c>
      <c r="I2" s="50">
        <v>500</v>
      </c>
      <c r="J2" s="50">
        <v>100</v>
      </c>
      <c r="K2" s="47">
        <v>300</v>
      </c>
    </row>
    <row r="3" spans="1:11">
      <c r="A3" s="49">
        <v>2</v>
      </c>
      <c r="B3" s="50" t="s">
        <v>44</v>
      </c>
      <c r="C3" s="50" t="s">
        <v>86</v>
      </c>
      <c r="D3" s="50" t="s">
        <v>101</v>
      </c>
      <c r="E3" s="50" t="s">
        <v>103</v>
      </c>
      <c r="F3" s="50" t="s">
        <v>20</v>
      </c>
      <c r="G3" s="51">
        <v>2008</v>
      </c>
      <c r="H3" s="50">
        <v>1</v>
      </c>
      <c r="I3" s="50">
        <v>3000</v>
      </c>
      <c r="J3" s="50">
        <v>330</v>
      </c>
      <c r="K3" s="50">
        <v>330</v>
      </c>
    </row>
    <row r="4" spans="1:11">
      <c r="A4" s="49">
        <v>3</v>
      </c>
      <c r="B4" s="50" t="s">
        <v>44</v>
      </c>
      <c r="C4" s="50" t="s">
        <v>104</v>
      </c>
      <c r="D4" s="50" t="s">
        <v>126</v>
      </c>
      <c r="E4" s="50" t="s">
        <v>123</v>
      </c>
      <c r="F4" s="50" t="s">
        <v>20</v>
      </c>
      <c r="G4" s="51">
        <v>1999</v>
      </c>
      <c r="H4" s="50">
        <v>1</v>
      </c>
      <c r="I4" s="50">
        <v>3000</v>
      </c>
      <c r="J4" s="50">
        <v>330</v>
      </c>
      <c r="K4" s="50">
        <v>330</v>
      </c>
    </row>
    <row r="5" spans="1:11">
      <c r="A5" s="49">
        <v>4</v>
      </c>
      <c r="B5" s="50" t="s">
        <v>44</v>
      </c>
      <c r="C5" s="50" t="s">
        <v>104</v>
      </c>
      <c r="D5" s="50" t="s">
        <v>126</v>
      </c>
      <c r="E5" s="50" t="s">
        <v>123</v>
      </c>
      <c r="F5" s="50" t="s">
        <v>20</v>
      </c>
      <c r="G5" s="51">
        <v>2005</v>
      </c>
      <c r="H5" s="50">
        <v>1</v>
      </c>
      <c r="I5" s="50">
        <v>2000</v>
      </c>
      <c r="J5" s="50">
        <v>240</v>
      </c>
      <c r="K5" s="50">
        <v>240</v>
      </c>
    </row>
    <row r="6" spans="1:11">
      <c r="A6" s="49">
        <v>5</v>
      </c>
      <c r="B6" s="50" t="s">
        <v>44</v>
      </c>
      <c r="C6" s="50" t="s">
        <v>104</v>
      </c>
      <c r="D6" s="50" t="s">
        <v>143</v>
      </c>
      <c r="E6" s="50" t="s">
        <v>140</v>
      </c>
      <c r="F6" s="50" t="s">
        <v>20</v>
      </c>
      <c r="G6" s="51">
        <v>1997</v>
      </c>
      <c r="H6" s="50">
        <v>1</v>
      </c>
      <c r="I6" s="50">
        <v>3500</v>
      </c>
      <c r="J6" s="50">
        <v>385</v>
      </c>
      <c r="K6" s="50">
        <v>385</v>
      </c>
    </row>
    <row r="7" spans="1:11">
      <c r="A7" s="49">
        <v>6</v>
      </c>
      <c r="B7" s="50" t="s">
        <v>44</v>
      </c>
      <c r="C7" s="50" t="s">
        <v>104</v>
      </c>
      <c r="D7" s="50" t="s">
        <v>149</v>
      </c>
      <c r="E7" s="50" t="s">
        <v>150</v>
      </c>
      <c r="F7" s="50" t="s">
        <v>20</v>
      </c>
      <c r="G7" s="51">
        <v>2004</v>
      </c>
      <c r="H7" s="50">
        <v>1</v>
      </c>
      <c r="I7" s="50">
        <v>1600</v>
      </c>
      <c r="J7" s="50">
        <v>200</v>
      </c>
      <c r="K7" s="50">
        <v>200</v>
      </c>
    </row>
    <row r="8" spans="1:11">
      <c r="A8" s="49">
        <v>7</v>
      </c>
      <c r="B8" s="50" t="s">
        <v>44</v>
      </c>
      <c r="C8" s="50" t="s">
        <v>104</v>
      </c>
      <c r="D8" s="50" t="s">
        <v>149</v>
      </c>
      <c r="E8" s="50" t="s">
        <v>150</v>
      </c>
      <c r="F8" s="50" t="s">
        <v>20</v>
      </c>
      <c r="G8" s="51">
        <v>1998</v>
      </c>
      <c r="H8" s="50">
        <v>1</v>
      </c>
      <c r="I8" s="50">
        <v>2000</v>
      </c>
      <c r="J8" s="50">
        <v>240</v>
      </c>
      <c r="K8" s="50">
        <v>240</v>
      </c>
    </row>
    <row r="9" spans="1:11">
      <c r="A9" s="49">
        <v>8</v>
      </c>
      <c r="B9" s="50" t="s">
        <v>44</v>
      </c>
      <c r="C9" s="50" t="s">
        <v>104</v>
      </c>
      <c r="D9" s="50" t="s">
        <v>134</v>
      </c>
      <c r="E9" s="50" t="s">
        <v>129</v>
      </c>
      <c r="F9" s="50" t="s">
        <v>20</v>
      </c>
      <c r="G9" s="51">
        <v>2007</v>
      </c>
      <c r="H9" s="50">
        <v>1</v>
      </c>
      <c r="I9" s="50">
        <v>2000</v>
      </c>
      <c r="J9" s="50">
        <v>240</v>
      </c>
      <c r="K9" s="50">
        <v>240</v>
      </c>
    </row>
    <row r="10" spans="1:11">
      <c r="A10" s="85" t="s">
        <v>14</v>
      </c>
      <c r="B10" s="50" t="s">
        <v>22</v>
      </c>
      <c r="C10" s="50" t="s">
        <v>22</v>
      </c>
      <c r="D10" s="50" t="s">
        <v>22</v>
      </c>
      <c r="E10" s="50" t="s">
        <v>22</v>
      </c>
      <c r="F10" s="50" t="s">
        <v>22</v>
      </c>
      <c r="G10" s="50" t="s">
        <v>22</v>
      </c>
      <c r="H10" s="50">
        <v>10</v>
      </c>
      <c r="I10" s="50">
        <v>17600</v>
      </c>
      <c r="J10" s="50" t="s">
        <v>22</v>
      </c>
      <c r="K10" s="50">
        <v>2265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GCShippment2501"/>
  <dimension ref="A1:K12"/>
  <sheetViews>
    <sheetView workbookViewId="0"/>
  </sheetViews>
  <sheetFormatPr defaultColWidth="14.21875" defaultRowHeight="18" customHeight="1"/>
  <cols>
    <col min="1" max="2" width="9.6640625" customWidth="1"/>
    <col min="3" max="3" width="16.6640625" customWidth="1"/>
    <col min="4" max="4" width="28.6640625" customWidth="1"/>
    <col min="5" max="5" width="45.6640625" customWidth="1"/>
    <col min="6" max="6" width="9.88671875" customWidth="1"/>
    <col min="7" max="10" width="9.6640625" customWidth="1"/>
    <col min="11" max="11" width="10" customWidth="1"/>
  </cols>
  <sheetData>
    <row r="1" spans="1:11">
      <c r="A1" s="86" t="s">
        <v>331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A2" s="55" t="s">
        <v>1</v>
      </c>
      <c r="B2" s="55" t="s">
        <v>2</v>
      </c>
      <c r="C2" s="55" t="s">
        <v>3</v>
      </c>
      <c r="D2" s="55" t="s">
        <v>5</v>
      </c>
      <c r="E2" s="55" t="s">
        <v>6</v>
      </c>
      <c r="F2" s="55" t="s">
        <v>7</v>
      </c>
      <c r="G2" s="55" t="s">
        <v>8</v>
      </c>
      <c r="H2" s="55" t="s">
        <v>9</v>
      </c>
      <c r="I2" s="55" t="s">
        <v>258</v>
      </c>
      <c r="J2" s="55" t="s">
        <v>327</v>
      </c>
      <c r="K2" s="55" t="s">
        <v>328</v>
      </c>
    </row>
    <row r="3" spans="1:11">
      <c r="A3" s="46">
        <f t="shared" ref="A3:A8" si="0">ROW()-2</f>
        <v>1</v>
      </c>
      <c r="B3" s="87" t="s">
        <v>44</v>
      </c>
      <c r="C3" s="87" t="s">
        <v>104</v>
      </c>
      <c r="D3" s="87" t="s">
        <v>134</v>
      </c>
      <c r="E3" s="87" t="s">
        <v>129</v>
      </c>
      <c r="F3" s="87" t="s">
        <v>20</v>
      </c>
      <c r="G3" s="46">
        <v>2003</v>
      </c>
      <c r="H3" s="87">
        <v>1</v>
      </c>
      <c r="I3" s="87">
        <v>2500</v>
      </c>
      <c r="J3" s="87">
        <v>300</v>
      </c>
      <c r="K3" s="87">
        <v>300</v>
      </c>
    </row>
    <row r="4" spans="1:11">
      <c r="A4" s="46">
        <f t="shared" si="0"/>
        <v>2</v>
      </c>
      <c r="B4" s="87" t="s">
        <v>44</v>
      </c>
      <c r="C4" s="87" t="s">
        <v>104</v>
      </c>
      <c r="D4" s="87" t="s">
        <v>134</v>
      </c>
      <c r="E4" s="87" t="s">
        <v>135</v>
      </c>
      <c r="F4" s="87" t="s">
        <v>20</v>
      </c>
      <c r="G4" s="46">
        <v>2003</v>
      </c>
      <c r="H4" s="87">
        <v>1</v>
      </c>
      <c r="I4" s="87">
        <v>2500</v>
      </c>
      <c r="J4" s="87">
        <v>300</v>
      </c>
      <c r="K4" s="87">
        <v>300</v>
      </c>
    </row>
    <row r="5" spans="1:11">
      <c r="A5" s="46">
        <f t="shared" si="0"/>
        <v>3</v>
      </c>
      <c r="B5" s="87" t="s">
        <v>44</v>
      </c>
      <c r="C5" s="87" t="s">
        <v>104</v>
      </c>
      <c r="D5" s="87" t="s">
        <v>134</v>
      </c>
      <c r="E5" s="87" t="s">
        <v>136</v>
      </c>
      <c r="F5" s="87" t="s">
        <v>20</v>
      </c>
      <c r="G5" s="46">
        <v>2003</v>
      </c>
      <c r="H5" s="87">
        <v>1</v>
      </c>
      <c r="I5" s="87">
        <v>2500</v>
      </c>
      <c r="J5" s="87">
        <v>300</v>
      </c>
      <c r="K5" s="87">
        <v>300</v>
      </c>
    </row>
    <row r="6" spans="1:11">
      <c r="A6" s="46">
        <f t="shared" si="0"/>
        <v>4</v>
      </c>
      <c r="B6" s="87" t="s">
        <v>44</v>
      </c>
      <c r="C6" s="87" t="s">
        <v>104</v>
      </c>
      <c r="D6" s="87" t="s">
        <v>143</v>
      </c>
      <c r="E6" s="87" t="s">
        <v>140</v>
      </c>
      <c r="F6" s="87" t="s">
        <v>20</v>
      </c>
      <c r="G6" s="46">
        <v>2003</v>
      </c>
      <c r="H6" s="87">
        <v>1</v>
      </c>
      <c r="I6" s="87">
        <v>3500</v>
      </c>
      <c r="J6" s="87">
        <v>385</v>
      </c>
      <c r="K6" s="87">
        <v>385</v>
      </c>
    </row>
    <row r="7" spans="1:11">
      <c r="A7" s="46">
        <f t="shared" si="0"/>
        <v>5</v>
      </c>
      <c r="B7" s="87" t="s">
        <v>44</v>
      </c>
      <c r="C7" s="87" t="s">
        <v>104</v>
      </c>
      <c r="D7" s="87" t="s">
        <v>149</v>
      </c>
      <c r="E7" s="87" t="s">
        <v>150</v>
      </c>
      <c r="F7" s="87" t="s">
        <v>20</v>
      </c>
      <c r="G7" s="46">
        <v>2013</v>
      </c>
      <c r="H7" s="87">
        <v>1</v>
      </c>
      <c r="I7" s="87">
        <v>1400</v>
      </c>
      <c r="J7" s="87">
        <v>180</v>
      </c>
      <c r="K7" s="87">
        <v>180</v>
      </c>
    </row>
    <row r="8" spans="1:11">
      <c r="A8" s="46">
        <f t="shared" si="0"/>
        <v>6</v>
      </c>
      <c r="B8" s="87" t="s">
        <v>44</v>
      </c>
      <c r="C8" s="87" t="s">
        <v>159</v>
      </c>
      <c r="D8" s="87" t="s">
        <v>166</v>
      </c>
      <c r="E8" s="87" t="s">
        <v>167</v>
      </c>
      <c r="F8" s="87" t="s">
        <v>20</v>
      </c>
      <c r="G8" s="46">
        <v>2010</v>
      </c>
      <c r="H8" s="87">
        <v>1</v>
      </c>
      <c r="I8" s="87">
        <v>3500</v>
      </c>
      <c r="J8" s="87">
        <v>385</v>
      </c>
      <c r="K8" s="87">
        <v>385</v>
      </c>
    </row>
    <row r="9" spans="1:11">
      <c r="A9" s="88" t="s">
        <v>14</v>
      </c>
      <c r="B9" s="32"/>
      <c r="C9" s="32"/>
      <c r="D9" s="32"/>
      <c r="E9" s="32"/>
      <c r="F9" s="32"/>
      <c r="G9" s="32"/>
      <c r="H9" s="32"/>
      <c r="I9" s="32"/>
      <c r="J9" s="32"/>
      <c r="K9" s="87">
        <f>SUM(K3:K8)</f>
        <v>1850</v>
      </c>
    </row>
    <row r="10" spans="1:11">
      <c r="A10" s="89" t="s">
        <v>332</v>
      </c>
    </row>
    <row r="11" spans="1:11">
      <c r="A11" s="55" t="s">
        <v>1</v>
      </c>
      <c r="B11" s="55" t="s">
        <v>2</v>
      </c>
      <c r="C11" s="55" t="s">
        <v>3</v>
      </c>
      <c r="D11" s="55" t="s">
        <v>5</v>
      </c>
      <c r="E11" s="55" t="s">
        <v>6</v>
      </c>
      <c r="F11" s="55" t="s">
        <v>7</v>
      </c>
      <c r="G11" s="55" t="s">
        <v>8</v>
      </c>
      <c r="H11" s="55" t="s">
        <v>9</v>
      </c>
      <c r="I11" s="55" t="s">
        <v>258</v>
      </c>
      <c r="J11" s="55" t="s">
        <v>327</v>
      </c>
      <c r="K11" s="55" t="s">
        <v>328</v>
      </c>
    </row>
    <row r="12" spans="1:11">
      <c r="A12" s="46">
        <v>1</v>
      </c>
      <c r="B12" s="87" t="s">
        <v>44</v>
      </c>
      <c r="C12" s="87" t="s">
        <v>84</v>
      </c>
      <c r="D12" s="87" t="s">
        <v>333</v>
      </c>
      <c r="E12" s="87" t="s">
        <v>334</v>
      </c>
      <c r="F12" s="87" t="s">
        <v>85</v>
      </c>
      <c r="G12" s="46">
        <v>2006</v>
      </c>
      <c r="H12" s="87">
        <v>5</v>
      </c>
      <c r="I12" s="87">
        <v>1500</v>
      </c>
      <c r="J12" s="87">
        <v>190</v>
      </c>
      <c r="K12" s="87">
        <v>950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KStock"/>
  <dimension ref="A1:K11"/>
  <sheetViews>
    <sheetView workbookViewId="0"/>
  </sheetViews>
  <sheetFormatPr defaultColWidth="14.21875" defaultRowHeight="18" customHeight="1"/>
  <cols>
    <col min="3" max="3" width="15.21875" customWidth="1"/>
    <col min="4" max="4" width="25.6640625" customWidth="1"/>
    <col min="5" max="5" width="41" customWidth="1"/>
  </cols>
  <sheetData>
    <row r="1" spans="1:11">
      <c r="A1" s="55" t="s">
        <v>1</v>
      </c>
      <c r="B1" s="79" t="s">
        <v>2</v>
      </c>
      <c r="C1" s="79" t="s">
        <v>3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258</v>
      </c>
      <c r="J1" s="55" t="s">
        <v>327</v>
      </c>
      <c r="K1" s="55" t="s">
        <v>328</v>
      </c>
    </row>
    <row r="2" spans="1:11">
      <c r="A2" s="49">
        <f t="shared" ref="A2:A11" si="0">ROW()-1</f>
        <v>1</v>
      </c>
      <c r="B2" s="50" t="s">
        <v>44</v>
      </c>
      <c r="C2" s="50" t="s">
        <v>104</v>
      </c>
      <c r="D2" s="50" t="s">
        <v>126</v>
      </c>
      <c r="E2" s="50" t="s">
        <v>123</v>
      </c>
      <c r="F2" s="50" t="s">
        <v>20</v>
      </c>
      <c r="G2" s="51">
        <v>2009</v>
      </c>
      <c r="H2" s="50">
        <v>1</v>
      </c>
      <c r="I2" s="50">
        <v>1800</v>
      </c>
      <c r="J2" s="50">
        <v>220</v>
      </c>
      <c r="K2" s="50">
        <v>220</v>
      </c>
    </row>
    <row r="3" spans="1:11">
      <c r="A3" s="49">
        <f t="shared" si="0"/>
        <v>2</v>
      </c>
      <c r="B3" s="50" t="s">
        <v>44</v>
      </c>
      <c r="C3" s="50" t="s">
        <v>104</v>
      </c>
      <c r="D3" s="50" t="s">
        <v>134</v>
      </c>
      <c r="E3" s="50" t="s">
        <v>129</v>
      </c>
      <c r="F3" s="50" t="s">
        <v>20</v>
      </c>
      <c r="G3" s="51">
        <v>2003</v>
      </c>
      <c r="H3" s="50">
        <v>1</v>
      </c>
      <c r="I3" s="50">
        <v>3000</v>
      </c>
      <c r="J3" s="50">
        <v>330</v>
      </c>
      <c r="K3" s="50">
        <v>330</v>
      </c>
    </row>
    <row r="4" spans="1:11">
      <c r="A4" s="49">
        <f t="shared" si="0"/>
        <v>3</v>
      </c>
      <c r="B4" s="50" t="s">
        <v>44</v>
      </c>
      <c r="C4" s="50" t="s">
        <v>104</v>
      </c>
      <c r="D4" s="50" t="s">
        <v>134</v>
      </c>
      <c r="E4" s="50" t="s">
        <v>129</v>
      </c>
      <c r="F4" s="50" t="s">
        <v>20</v>
      </c>
      <c r="G4" s="51">
        <v>2005</v>
      </c>
      <c r="H4" s="50">
        <v>1</v>
      </c>
      <c r="I4" s="50">
        <v>3000</v>
      </c>
      <c r="J4" s="50">
        <v>330</v>
      </c>
      <c r="K4" s="50">
        <v>330</v>
      </c>
    </row>
    <row r="5" spans="1:11">
      <c r="A5" s="49">
        <f t="shared" si="0"/>
        <v>4</v>
      </c>
      <c r="B5" s="50" t="s">
        <v>44</v>
      </c>
      <c r="C5" s="50" t="s">
        <v>104</v>
      </c>
      <c r="D5" s="50" t="s">
        <v>134</v>
      </c>
      <c r="E5" s="50" t="s">
        <v>135</v>
      </c>
      <c r="F5" s="50" t="s">
        <v>20</v>
      </c>
      <c r="G5" s="51">
        <v>2003</v>
      </c>
      <c r="H5" s="50">
        <v>2</v>
      </c>
      <c r="I5" s="50">
        <v>2400</v>
      </c>
      <c r="J5" s="50">
        <v>288</v>
      </c>
      <c r="K5" s="50">
        <v>576</v>
      </c>
    </row>
    <row r="6" spans="1:11">
      <c r="A6" s="49">
        <f t="shared" si="0"/>
        <v>5</v>
      </c>
      <c r="B6" s="50" t="s">
        <v>44</v>
      </c>
      <c r="C6" s="50" t="s">
        <v>104</v>
      </c>
      <c r="D6" s="50" t="s">
        <v>134</v>
      </c>
      <c r="E6" s="50" t="s">
        <v>136</v>
      </c>
      <c r="F6" s="50" t="s">
        <v>20</v>
      </c>
      <c r="G6" s="51">
        <v>2003</v>
      </c>
      <c r="H6" s="50">
        <v>2</v>
      </c>
      <c r="I6" s="50">
        <v>3000</v>
      </c>
      <c r="J6" s="50">
        <v>330</v>
      </c>
      <c r="K6" s="50">
        <v>660</v>
      </c>
    </row>
    <row r="7" spans="1:11">
      <c r="A7" s="49">
        <f t="shared" si="0"/>
        <v>6</v>
      </c>
      <c r="B7" s="50" t="s">
        <v>44</v>
      </c>
      <c r="C7" s="50" t="s">
        <v>104</v>
      </c>
      <c r="D7" s="50" t="s">
        <v>143</v>
      </c>
      <c r="E7" s="50" t="s">
        <v>140</v>
      </c>
      <c r="F7" s="50" t="s">
        <v>20</v>
      </c>
      <c r="G7" s="51">
        <v>2003</v>
      </c>
      <c r="H7" s="50">
        <v>1</v>
      </c>
      <c r="I7" s="50">
        <v>3500</v>
      </c>
      <c r="J7" s="50">
        <v>385</v>
      </c>
      <c r="K7" s="50">
        <v>385</v>
      </c>
    </row>
    <row r="8" spans="1:11">
      <c r="A8" s="49">
        <f t="shared" si="0"/>
        <v>7</v>
      </c>
      <c r="B8" s="50" t="s">
        <v>44</v>
      </c>
      <c r="C8" s="50" t="s">
        <v>104</v>
      </c>
      <c r="D8" s="50" t="s">
        <v>143</v>
      </c>
      <c r="E8" s="50" t="s">
        <v>140</v>
      </c>
      <c r="F8" s="50" t="s">
        <v>20</v>
      </c>
      <c r="G8" s="51">
        <v>2009</v>
      </c>
      <c r="H8" s="50">
        <v>1</v>
      </c>
      <c r="I8" s="50">
        <v>3500</v>
      </c>
      <c r="J8" s="50">
        <v>385</v>
      </c>
      <c r="K8" s="50">
        <v>385</v>
      </c>
    </row>
    <row r="9" spans="1:11">
      <c r="A9" s="49">
        <f t="shared" si="0"/>
        <v>8</v>
      </c>
      <c r="B9" s="50" t="s">
        <v>44</v>
      </c>
      <c r="C9" s="50" t="s">
        <v>104</v>
      </c>
      <c r="D9" s="50" t="s">
        <v>149</v>
      </c>
      <c r="E9" s="50" t="s">
        <v>150</v>
      </c>
      <c r="F9" s="50" t="s">
        <v>20</v>
      </c>
      <c r="G9" s="51">
        <v>2001</v>
      </c>
      <c r="H9" s="50">
        <v>1</v>
      </c>
      <c r="I9" s="50">
        <v>1800</v>
      </c>
      <c r="J9" s="50">
        <v>220</v>
      </c>
      <c r="K9" s="50">
        <v>220</v>
      </c>
    </row>
    <row r="10" spans="1:11">
      <c r="A10" s="49">
        <f t="shared" si="0"/>
        <v>9</v>
      </c>
      <c r="B10" s="50" t="s">
        <v>44</v>
      </c>
      <c r="C10" s="50" t="s">
        <v>104</v>
      </c>
      <c r="D10" s="50" t="s">
        <v>149</v>
      </c>
      <c r="E10" s="50" t="s">
        <v>150</v>
      </c>
      <c r="F10" s="50" t="s">
        <v>20</v>
      </c>
      <c r="G10" s="51">
        <v>2013</v>
      </c>
      <c r="H10" s="50">
        <v>1</v>
      </c>
      <c r="I10" s="50">
        <v>1400</v>
      </c>
      <c r="J10" s="50">
        <v>180</v>
      </c>
      <c r="K10" s="50">
        <v>180</v>
      </c>
    </row>
    <row r="11" spans="1:11">
      <c r="A11" s="49">
        <f t="shared" si="0"/>
        <v>10</v>
      </c>
      <c r="B11" s="50" t="s">
        <v>44</v>
      </c>
      <c r="C11" s="50" t="s">
        <v>159</v>
      </c>
      <c r="D11" s="50" t="s">
        <v>166</v>
      </c>
      <c r="E11" s="50" t="s">
        <v>167</v>
      </c>
      <c r="F11" s="50" t="s">
        <v>20</v>
      </c>
      <c r="G11" s="51">
        <v>2010</v>
      </c>
      <c r="H11" s="50">
        <v>1</v>
      </c>
      <c r="I11" s="50">
        <v>3500</v>
      </c>
      <c r="J11" s="50">
        <v>385</v>
      </c>
      <c r="K11" s="50">
        <v>385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GCShippment2510"/>
  <dimension ref="A1:K12"/>
  <sheetViews>
    <sheetView workbookViewId="0"/>
  </sheetViews>
  <sheetFormatPr defaultColWidth="14.21875" defaultRowHeight="18" customHeight="1"/>
  <cols>
    <col min="1" max="1" width="7.77734375" customWidth="1"/>
    <col min="2" max="2" width="10.33203125" customWidth="1"/>
    <col min="3" max="3" width="17.21875" customWidth="1"/>
    <col min="4" max="4" width="25.33203125" customWidth="1"/>
    <col min="5" max="5" width="41.109375" customWidth="1"/>
    <col min="6" max="6" width="7" customWidth="1"/>
    <col min="7" max="7" width="9.33203125" customWidth="1"/>
    <col min="8" max="8" width="9.44140625" customWidth="1"/>
    <col min="9" max="9" width="9.21875" customWidth="1"/>
    <col min="10" max="10" width="9.6640625" customWidth="1"/>
    <col min="11" max="11" width="10.88671875" customWidth="1"/>
  </cols>
  <sheetData>
    <row r="1" spans="1:11">
      <c r="A1" s="55" t="s">
        <v>1</v>
      </c>
      <c r="B1" s="79" t="s">
        <v>2</v>
      </c>
      <c r="C1" s="79" t="s">
        <v>3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258</v>
      </c>
      <c r="J1" s="55" t="s">
        <v>327</v>
      </c>
      <c r="K1" s="55" t="s">
        <v>328</v>
      </c>
    </row>
    <row r="2" spans="1:11">
      <c r="A2" s="49">
        <f t="shared" ref="A2:A11" si="0">ROW()-1</f>
        <v>1</v>
      </c>
      <c r="B2" s="50" t="s">
        <v>44</v>
      </c>
      <c r="C2" s="50" t="s">
        <v>104</v>
      </c>
      <c r="D2" s="50" t="s">
        <v>126</v>
      </c>
      <c r="E2" s="50" t="s">
        <v>123</v>
      </c>
      <c r="F2" s="50" t="s">
        <v>20</v>
      </c>
      <c r="G2" s="51">
        <v>2009</v>
      </c>
      <c r="H2" s="50">
        <v>1</v>
      </c>
      <c r="I2" s="50">
        <v>1500</v>
      </c>
      <c r="J2" s="50">
        <v>190</v>
      </c>
      <c r="K2" s="50">
        <f t="shared" ref="K2:K11" si="1">J2*H2</f>
        <v>190</v>
      </c>
    </row>
    <row r="3" spans="1:11">
      <c r="A3" s="49">
        <f t="shared" si="0"/>
        <v>2</v>
      </c>
      <c r="B3" s="50" t="s">
        <v>44</v>
      </c>
      <c r="C3" s="50" t="s">
        <v>104</v>
      </c>
      <c r="D3" s="50" t="s">
        <v>134</v>
      </c>
      <c r="E3" s="50" t="s">
        <v>129</v>
      </c>
      <c r="F3" s="50" t="s">
        <v>20</v>
      </c>
      <c r="G3" s="51">
        <v>2003</v>
      </c>
      <c r="H3" s="50">
        <v>1</v>
      </c>
      <c r="I3" s="50">
        <v>2400</v>
      </c>
      <c r="J3" s="50">
        <v>288</v>
      </c>
      <c r="K3" s="50">
        <f t="shared" si="1"/>
        <v>288</v>
      </c>
    </row>
    <row r="4" spans="1:11">
      <c r="A4" s="49">
        <f t="shared" si="0"/>
        <v>3</v>
      </c>
      <c r="B4" s="50" t="s">
        <v>44</v>
      </c>
      <c r="C4" s="50" t="s">
        <v>104</v>
      </c>
      <c r="D4" s="50" t="s">
        <v>134</v>
      </c>
      <c r="E4" s="50" t="s">
        <v>129</v>
      </c>
      <c r="F4" s="50" t="s">
        <v>20</v>
      </c>
      <c r="G4" s="51">
        <v>2005</v>
      </c>
      <c r="H4" s="50">
        <v>1</v>
      </c>
      <c r="I4" s="50">
        <v>2400</v>
      </c>
      <c r="J4" s="50">
        <v>288</v>
      </c>
      <c r="K4" s="50">
        <f t="shared" si="1"/>
        <v>288</v>
      </c>
    </row>
    <row r="5" spans="1:11">
      <c r="A5" s="49">
        <f t="shared" si="0"/>
        <v>4</v>
      </c>
      <c r="B5" s="50" t="s">
        <v>44</v>
      </c>
      <c r="C5" s="50" t="s">
        <v>104</v>
      </c>
      <c r="D5" s="50" t="s">
        <v>134</v>
      </c>
      <c r="E5" s="50" t="s">
        <v>135</v>
      </c>
      <c r="F5" s="50" t="s">
        <v>20</v>
      </c>
      <c r="G5" s="51">
        <v>2003</v>
      </c>
      <c r="H5" s="50">
        <v>2</v>
      </c>
      <c r="I5" s="50">
        <v>2000</v>
      </c>
      <c r="J5" s="50">
        <v>240</v>
      </c>
      <c r="K5" s="50">
        <f t="shared" si="1"/>
        <v>480</v>
      </c>
    </row>
    <row r="6" spans="1:11">
      <c r="A6" s="49">
        <f t="shared" si="0"/>
        <v>5</v>
      </c>
      <c r="B6" s="50" t="s">
        <v>44</v>
      </c>
      <c r="C6" s="50" t="s">
        <v>104</v>
      </c>
      <c r="D6" s="50" t="s">
        <v>134</v>
      </c>
      <c r="E6" s="50" t="s">
        <v>136</v>
      </c>
      <c r="F6" s="50" t="s">
        <v>20</v>
      </c>
      <c r="G6" s="51">
        <v>2003</v>
      </c>
      <c r="H6" s="50">
        <v>2</v>
      </c>
      <c r="I6" s="50">
        <v>2000</v>
      </c>
      <c r="J6" s="50">
        <v>240</v>
      </c>
      <c r="K6" s="50">
        <f t="shared" si="1"/>
        <v>480</v>
      </c>
    </row>
    <row r="7" spans="1:11">
      <c r="A7" s="49">
        <f t="shared" si="0"/>
        <v>6</v>
      </c>
      <c r="B7" s="50" t="s">
        <v>44</v>
      </c>
      <c r="C7" s="50" t="s">
        <v>104</v>
      </c>
      <c r="D7" s="50" t="s">
        <v>143</v>
      </c>
      <c r="E7" s="50" t="s">
        <v>140</v>
      </c>
      <c r="F7" s="50" t="s">
        <v>20</v>
      </c>
      <c r="G7" s="51">
        <v>2003</v>
      </c>
      <c r="H7" s="50">
        <v>1</v>
      </c>
      <c r="I7" s="50">
        <v>3500</v>
      </c>
      <c r="J7" s="50">
        <v>385</v>
      </c>
      <c r="K7" s="50">
        <f t="shared" si="1"/>
        <v>385</v>
      </c>
    </row>
    <row r="8" spans="1:11">
      <c r="A8" s="49">
        <f t="shared" si="0"/>
        <v>7</v>
      </c>
      <c r="B8" s="50" t="s">
        <v>44</v>
      </c>
      <c r="C8" s="50" t="s">
        <v>104</v>
      </c>
      <c r="D8" s="50" t="s">
        <v>143</v>
      </c>
      <c r="E8" s="50" t="s">
        <v>140</v>
      </c>
      <c r="F8" s="50" t="s">
        <v>20</v>
      </c>
      <c r="G8" s="51">
        <v>2009</v>
      </c>
      <c r="H8" s="50">
        <v>1</v>
      </c>
      <c r="I8" s="50">
        <v>3000</v>
      </c>
      <c r="J8" s="50">
        <v>330</v>
      </c>
      <c r="K8" s="50">
        <f t="shared" si="1"/>
        <v>330</v>
      </c>
    </row>
    <row r="9" spans="1:11">
      <c r="A9" s="49">
        <f t="shared" si="0"/>
        <v>8</v>
      </c>
      <c r="B9" s="50" t="s">
        <v>44</v>
      </c>
      <c r="C9" s="50" t="s">
        <v>104</v>
      </c>
      <c r="D9" s="50" t="s">
        <v>149</v>
      </c>
      <c r="E9" s="50" t="s">
        <v>150</v>
      </c>
      <c r="F9" s="50" t="s">
        <v>20</v>
      </c>
      <c r="G9" s="51">
        <v>2001</v>
      </c>
      <c r="H9" s="50">
        <v>1</v>
      </c>
      <c r="I9" s="50">
        <v>1800</v>
      </c>
      <c r="J9" s="50">
        <v>220</v>
      </c>
      <c r="K9" s="50">
        <f t="shared" si="1"/>
        <v>220</v>
      </c>
    </row>
    <row r="10" spans="1:11">
      <c r="A10" s="49">
        <f t="shared" si="0"/>
        <v>9</v>
      </c>
      <c r="B10" s="50" t="s">
        <v>44</v>
      </c>
      <c r="C10" s="50" t="s">
        <v>104</v>
      </c>
      <c r="D10" s="50" t="s">
        <v>149</v>
      </c>
      <c r="E10" s="50" t="s">
        <v>150</v>
      </c>
      <c r="F10" s="50" t="s">
        <v>20</v>
      </c>
      <c r="G10" s="51">
        <v>2013</v>
      </c>
      <c r="H10" s="50">
        <v>1</v>
      </c>
      <c r="I10" s="50">
        <v>1400</v>
      </c>
      <c r="J10" s="50">
        <v>180</v>
      </c>
      <c r="K10" s="50">
        <f t="shared" si="1"/>
        <v>180</v>
      </c>
    </row>
    <row r="11" spans="1:11">
      <c r="A11" s="90">
        <f t="shared" si="0"/>
        <v>10</v>
      </c>
      <c r="B11" s="52" t="s">
        <v>44</v>
      </c>
      <c r="C11" s="52" t="s">
        <v>159</v>
      </c>
      <c r="D11" s="52" t="s">
        <v>166</v>
      </c>
      <c r="E11" s="52" t="s">
        <v>167</v>
      </c>
      <c r="F11" s="52" t="s">
        <v>20</v>
      </c>
      <c r="G11" s="53">
        <v>2010</v>
      </c>
      <c r="H11" s="52">
        <v>1</v>
      </c>
      <c r="I11" s="52">
        <v>3000</v>
      </c>
      <c r="J11" s="52">
        <v>330</v>
      </c>
      <c r="K11" s="52">
        <f t="shared" si="1"/>
        <v>330</v>
      </c>
    </row>
    <row r="12" spans="1:11">
      <c r="A12" s="128" t="s">
        <v>319</v>
      </c>
      <c r="B12" s="129"/>
      <c r="C12" s="129"/>
      <c r="D12" s="129"/>
      <c r="E12" s="129"/>
      <c r="F12" s="129"/>
      <c r="G12" s="130"/>
      <c r="H12" s="88">
        <v>12</v>
      </c>
      <c r="I12" s="128">
        <f>SUM(K2:K11)</f>
        <v>3171</v>
      </c>
      <c r="J12" s="129"/>
      <c r="K12" s="130"/>
    </row>
  </sheetData>
  <mergeCells count="2">
    <mergeCell ref="A12:G12"/>
    <mergeCell ref="I12:K12"/>
  </mergeCells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BurgundyVintageReport"/>
  <dimension ref="A1:B36"/>
  <sheetViews>
    <sheetView workbookViewId="0"/>
  </sheetViews>
  <sheetFormatPr defaultColWidth="14.21875" defaultRowHeight="18" customHeight="1"/>
  <cols>
    <col min="1" max="2" width="9.6640625" customWidth="1"/>
  </cols>
  <sheetData>
    <row r="1" spans="1:2" ht="18" customHeight="1">
      <c r="A1" s="91" t="s">
        <v>335</v>
      </c>
      <c r="B1" s="92" t="s">
        <v>336</v>
      </c>
    </row>
    <row r="2" spans="1:2">
      <c r="A2" s="93">
        <v>2021</v>
      </c>
      <c r="B2" s="94">
        <v>6.79</v>
      </c>
    </row>
    <row r="3" spans="1:2">
      <c r="A3" s="93">
        <v>2020</v>
      </c>
      <c r="B3" s="95">
        <v>8.1</v>
      </c>
    </row>
    <row r="4" spans="1:2">
      <c r="A4" s="93">
        <v>2019</v>
      </c>
      <c r="B4" s="96">
        <v>8.3000000000000007</v>
      </c>
    </row>
    <row r="5" spans="1:2">
      <c r="A5" s="93">
        <v>2018</v>
      </c>
      <c r="B5" s="97">
        <v>7.65</v>
      </c>
    </row>
    <row r="6" spans="1:2">
      <c r="A6" s="93">
        <v>2017</v>
      </c>
      <c r="B6" s="98">
        <v>7.35</v>
      </c>
    </row>
    <row r="7" spans="1:2">
      <c r="A7" s="93">
        <v>2016</v>
      </c>
      <c r="B7" s="99">
        <v>7.9</v>
      </c>
    </row>
    <row r="8" spans="1:2">
      <c r="A8" s="93">
        <v>2015</v>
      </c>
      <c r="B8" s="100">
        <v>9.35</v>
      </c>
    </row>
    <row r="9" spans="1:2">
      <c r="A9" s="93">
        <v>2014</v>
      </c>
      <c r="B9" s="101">
        <v>7.05</v>
      </c>
    </row>
    <row r="10" spans="1:2">
      <c r="A10" s="93">
        <v>2013</v>
      </c>
      <c r="B10" s="102">
        <v>6.65</v>
      </c>
    </row>
    <row r="11" spans="1:2">
      <c r="A11" s="93">
        <v>2012</v>
      </c>
      <c r="B11" s="103">
        <v>7.25</v>
      </c>
    </row>
    <row r="12" spans="1:2">
      <c r="A12" s="93">
        <v>2011</v>
      </c>
      <c r="B12" s="104">
        <v>6.7</v>
      </c>
    </row>
    <row r="13" spans="1:2">
      <c r="A13" s="93">
        <v>2010</v>
      </c>
      <c r="B13" s="105">
        <v>8.0500000000000007</v>
      </c>
    </row>
    <row r="14" spans="1:2">
      <c r="A14" s="93">
        <v>2009</v>
      </c>
      <c r="B14" s="106">
        <v>8.25</v>
      </c>
    </row>
    <row r="15" spans="1:2">
      <c r="A15" s="93">
        <v>2008</v>
      </c>
      <c r="B15" s="107">
        <v>5.95</v>
      </c>
    </row>
    <row r="16" spans="1:2">
      <c r="A16" s="93">
        <v>2007</v>
      </c>
      <c r="B16" s="108">
        <v>5.85</v>
      </c>
    </row>
    <row r="17" spans="1:2">
      <c r="A17" s="93">
        <v>2006</v>
      </c>
      <c r="B17" s="109">
        <v>6.55</v>
      </c>
    </row>
    <row r="18" spans="1:2">
      <c r="A18" s="93">
        <v>2005</v>
      </c>
      <c r="B18" s="100">
        <v>9.35</v>
      </c>
    </row>
    <row r="19" spans="1:2">
      <c r="A19" s="93">
        <v>2004</v>
      </c>
      <c r="B19" s="107">
        <v>5.95</v>
      </c>
    </row>
    <row r="20" spans="1:2">
      <c r="A20" s="93">
        <v>2003</v>
      </c>
      <c r="B20" s="110">
        <v>5.65</v>
      </c>
    </row>
    <row r="21" spans="1:2">
      <c r="A21" s="93">
        <v>2002</v>
      </c>
      <c r="B21" s="111">
        <v>7.8</v>
      </c>
    </row>
    <row r="22" spans="1:2">
      <c r="A22" s="93">
        <v>2001</v>
      </c>
      <c r="B22" s="112">
        <v>6.45</v>
      </c>
    </row>
    <row r="23" spans="1:2">
      <c r="A23" s="93">
        <v>2000</v>
      </c>
      <c r="B23" s="110">
        <v>5.65</v>
      </c>
    </row>
    <row r="24" spans="1:2">
      <c r="A24" s="93">
        <v>1999</v>
      </c>
      <c r="B24" s="105">
        <v>8.0500000000000007</v>
      </c>
    </row>
    <row r="25" spans="1:2">
      <c r="A25" s="93">
        <v>1998</v>
      </c>
      <c r="B25" s="110">
        <v>5.65</v>
      </c>
    </row>
    <row r="26" spans="1:2">
      <c r="A26" s="93">
        <v>1997</v>
      </c>
      <c r="B26" s="107">
        <v>5.95</v>
      </c>
    </row>
    <row r="27" spans="1:2">
      <c r="A27" s="93">
        <v>1996</v>
      </c>
      <c r="B27" s="113">
        <v>7.2</v>
      </c>
    </row>
    <row r="28" spans="1:2">
      <c r="A28" s="93">
        <v>1995</v>
      </c>
      <c r="B28" s="114">
        <v>6.6</v>
      </c>
    </row>
    <row r="29" spans="1:2">
      <c r="A29" s="93">
        <v>1994</v>
      </c>
      <c r="B29" s="115">
        <v>4.75</v>
      </c>
    </row>
    <row r="30" spans="1:2">
      <c r="A30" s="93">
        <v>1993</v>
      </c>
      <c r="B30" s="116">
        <v>7.3</v>
      </c>
    </row>
    <row r="31" spans="1:2">
      <c r="A31" s="93">
        <v>1992</v>
      </c>
      <c r="B31" s="117">
        <v>4</v>
      </c>
    </row>
    <row r="32" spans="1:2">
      <c r="A32" s="93">
        <v>1991</v>
      </c>
      <c r="B32" s="118">
        <v>6.35</v>
      </c>
    </row>
    <row r="33" spans="1:2">
      <c r="A33" s="93">
        <v>1990</v>
      </c>
      <c r="B33" s="119">
        <v>8.8000000000000007</v>
      </c>
    </row>
    <row r="34" spans="1:2">
      <c r="A34" s="93">
        <v>1989</v>
      </c>
      <c r="B34" s="120">
        <v>7.85</v>
      </c>
    </row>
    <row r="35" spans="1:2">
      <c r="A35" s="93">
        <v>1988</v>
      </c>
      <c r="B35" s="116">
        <v>7.3</v>
      </c>
    </row>
    <row r="36" spans="1:2">
      <c r="A36" s="121">
        <v>1987</v>
      </c>
      <c r="B36" s="122">
        <v>4.3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Stock</vt:lpstr>
      <vt:lpstr>FR盲品</vt:lpstr>
      <vt:lpstr>工作表1</vt:lpstr>
      <vt:lpstr>CoteRotie1</vt:lpstr>
      <vt:lpstr>Northern Rhone</vt:lpstr>
      <vt:lpstr>CoteRotie2</vt:lpstr>
      <vt:lpstr>Cornas</vt:lpstr>
      <vt:lpstr>Syrah</vt:lpstr>
      <vt:lpstr>Rougeard</vt:lpstr>
      <vt:lpstr>HKShippment2405</vt:lpstr>
      <vt:lpstr>GCShippment2405</vt:lpstr>
      <vt:lpstr>GCShippment2501</vt:lpstr>
      <vt:lpstr>HKStock</vt:lpstr>
      <vt:lpstr>GCShippment2510</vt:lpstr>
      <vt:lpstr>BurgundyVintageReport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凯欣 陆</cp:lastModifiedBy>
  <dcterms:created xsi:type="dcterms:W3CDTF">2026-06-13T13:49:56Z</dcterms:created>
  <dcterms:modified xsi:type="dcterms:W3CDTF">2026-06-13T05:50:25Z</dcterms:modified>
</cp:coreProperties>
</file>